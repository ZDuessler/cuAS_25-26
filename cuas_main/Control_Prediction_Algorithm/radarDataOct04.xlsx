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safa0-my.sharepoint.com/personal/c25samuel_dutt_afacademy_af_edu/Documents/Desktop/Dutt/Fall_2024/Capstone/"/>
    </mc:Choice>
  </mc:AlternateContent>
  <xr:revisionPtr revIDLastSave="25" documentId="8_{416FDD49-D356-4EAE-BDD5-7E1A9FB3B81D}" xr6:coauthVersionLast="47" xr6:coauthVersionMax="47" xr10:uidLastSave="{23677E31-8807-4816-A652-9C89AC4A9B17}"/>
  <bookViews>
    <workbookView xWindow="-120" yWindow="-16320" windowWidth="29040" windowHeight="15720" firstSheet="3" activeTab="3" xr2:uid="{00000000-000D-0000-FFFF-FFFF00000000}"/>
  </bookViews>
  <sheets>
    <sheet name="Bird1" sheetId="1" r:id="rId1"/>
    <sheet name="Bird2" sheetId="5" r:id="rId2"/>
    <sheet name="Bird3" sheetId="6" r:id="rId3"/>
    <sheet name="Drone1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B2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B1" i="1"/>
</calcChain>
</file>

<file path=xl/sharedStrings.xml><?xml version="1.0" encoding="utf-8"?>
<sst xmlns="http://schemas.openxmlformats.org/spreadsheetml/2006/main" count="441" uniqueCount="324">
  <si>
    <t>200.01213997533083</t>
  </si>
  <si>
    <t>39.01723860000001</t>
  </si>
  <si>
    <t>39.01723860000001,-104.893341,28.153312</t>
  </si>
  <si>
    <t>193.65219163095904</t>
  </si>
  <si>
    <t>39.01728820000003</t>
  </si>
  <si>
    <t>11.361816596081368</t>
  </si>
  <si>
    <t>187.40850683085043</t>
  </si>
  <si>
    <t>39.01734160000001</t>
  </si>
  <si>
    <t>11.688418470381304</t>
  </si>
  <si>
    <t>182.11044356179883</t>
  </si>
  <si>
    <t>10.873113225584227</t>
  </si>
  <si>
    <t>177.3711569661822</t>
  </si>
  <si>
    <t>39.01744080000001</t>
  </si>
  <si>
    <t>10.719823753880771</t>
  </si>
  <si>
    <t>171.15889602008824</t>
  </si>
  <si>
    <t>39.01750950000001</t>
  </si>
  <si>
    <t>12.457811987364247</t>
  </si>
  <si>
    <t>164.82140904863883</t>
  </si>
  <si>
    <t>39.017585800000006</t>
  </si>
  <si>
    <t>12.380260958607153</t>
  </si>
  <si>
    <t>161.21149715304918</t>
  </si>
  <si>
    <t>39.01763530000001</t>
  </si>
  <si>
    <t>11.405751795143308</t>
  </si>
  <si>
    <t>157.7269700048664</t>
  </si>
  <si>
    <t>10.103913163530178</t>
  </si>
  <si>
    <t>156.55710232916218</t>
  </si>
  <si>
    <t>14.06769025839542</t>
  </si>
  <si>
    <t>156.08340813484983</t>
  </si>
  <si>
    <t>10.041317911737938</t>
  </si>
  <si>
    <t>156.0649424456198</t>
  </si>
  <si>
    <t>39.01782610000001</t>
  </si>
  <si>
    <t>7.308188354885553</t>
  </si>
  <si>
    <t>156.50497913856722</t>
  </si>
  <si>
    <t>39.01787950000001</t>
  </si>
  <si>
    <t>11.61645027756325</t>
  </si>
  <si>
    <t>158.82695823203113</t>
  </si>
  <si>
    <t>39.01792140000001</t>
  </si>
  <si>
    <t>10.531068961841328</t>
  </si>
  <si>
    <t>162.1587856279135</t>
  </si>
  <si>
    <t>166.8479743307348</t>
  </si>
  <si>
    <t>39.017974900000006</t>
  </si>
  <si>
    <t>9.741046904469068</t>
  </si>
  <si>
    <t>173.63494175777927</t>
  </si>
  <si>
    <t>39.01800000000001</t>
  </si>
  <si>
    <t>12.17261081336923</t>
  </si>
  <si>
    <t>180.86238308625144</t>
  </si>
  <si>
    <t>39.01799770000001</t>
  </si>
  <si>
    <t>9.128893336786806</t>
  </si>
  <si>
    <t>186.82634203637878</t>
  </si>
  <si>
    <t>8.931138460732472</t>
  </si>
  <si>
    <t>193.64011262362067</t>
  </si>
  <si>
    <t>2167.6582000000003</t>
  </si>
  <si>
    <t>10.377567196441307</t>
  </si>
  <si>
    <t>198.64951774449102</t>
  </si>
  <si>
    <t>39.018051100000015</t>
  </si>
  <si>
    <t>205.1271450946895</t>
  </si>
  <si>
    <t>39.018074000000006</t>
  </si>
  <si>
    <t>212.6502767454023</t>
  </si>
  <si>
    <t>39.01809310000001</t>
  </si>
  <si>
    <t>9.816068044271727</t>
  </si>
  <si>
    <t>219.5769013043367</t>
  </si>
  <si>
    <t>39.018116000000006</t>
  </si>
  <si>
    <t>9.512220919248117</t>
  </si>
  <si>
    <t>227.42595430800287</t>
  </si>
  <si>
    <t>39.018135099999995</t>
  </si>
  <si>
    <t>9.659786141109793</t>
  </si>
  <si>
    <t>229.03322068360052</t>
  </si>
  <si>
    <t>39.018138900000004</t>
  </si>
  <si>
    <t>9.192130710505301</t>
  </si>
  <si>
    <t>236.7662779673436</t>
  </si>
  <si>
    <t>39.01815943978366</t>
  </si>
  <si>
    <t>2153.696072517121</t>
  </si>
  <si>
    <t>9.880753061462306</t>
  </si>
  <si>
    <t>244.65082097935223</t>
  </si>
  <si>
    <t>39.01817997946201</t>
  </si>
  <si>
    <t>2151.3709050342422</t>
  </si>
  <si>
    <t>252.67266897144177</t>
  </si>
  <si>
    <t>39.01820051903507</t>
  </si>
  <si>
    <t>2149.045737551364</t>
  </si>
  <si>
    <t>9.841229980306668</t>
  </si>
  <si>
    <t>260.81915324118097</t>
  </si>
  <si>
    <t>39.01822105850282</t>
  </si>
  <si>
    <t>2146.7205700684854</t>
  </si>
  <si>
    <t>9.841229943821812</t>
  </si>
  <si>
    <t>169.96235700924737</t>
  </si>
  <si>
    <t>39.01764300000001</t>
  </si>
  <si>
    <t>4.826965379079422</t>
  </si>
  <si>
    <t>39.01764300000001,-104.894424,23.257329</t>
  </si>
  <si>
    <t>173.4099060398541</t>
  </si>
  <si>
    <t>3.626591418979084</t>
  </si>
  <si>
    <t>176.4755483077253</t>
  </si>
  <si>
    <t>39.017589599999994</t>
  </si>
  <si>
    <t>3.3249509294521844</t>
  </si>
  <si>
    <t>173.28340286795134</t>
  </si>
  <si>
    <t>39.01755140000001</t>
  </si>
  <si>
    <t>18.971596429956023</t>
  </si>
  <si>
    <t>168.7709153256466</t>
  </si>
  <si>
    <t>39.01756290000001</t>
  </si>
  <si>
    <t>11.158637090063273</t>
  </si>
  <si>
    <t>167.55661109919996</t>
  </si>
  <si>
    <t>8.178583403783994</t>
  </si>
  <si>
    <t>174.62920533039838</t>
  </si>
  <si>
    <t>39.01747890000001</t>
  </si>
  <si>
    <t>179.86637051276134</t>
  </si>
  <si>
    <t>9.582738601425422</t>
  </si>
  <si>
    <t>185.40398027671918</t>
  </si>
  <si>
    <t>39.017364500000006</t>
  </si>
  <si>
    <t>191.3470394364796</t>
  </si>
  <si>
    <t>39.017307300000006</t>
  </si>
  <si>
    <t>9.630565469838585</t>
  </si>
  <si>
    <t>196.31721428640333</t>
  </si>
  <si>
    <t>10.000474474848343</t>
  </si>
  <si>
    <t>202.77070294959557</t>
  </si>
  <si>
    <t>9.296830274595509</t>
  </si>
  <si>
    <t>209.46964407563513</t>
  </si>
  <si>
    <t>39.01714710000001</t>
  </si>
  <si>
    <t>9.332532848015218</t>
  </si>
  <si>
    <t>216.47002245186675</t>
  </si>
  <si>
    <t>39.01708980000001</t>
  </si>
  <si>
    <t>10.065975581185443</t>
  </si>
  <si>
    <t>224.03365948106136</t>
  </si>
  <si>
    <t>9.505679625737153</t>
  </si>
  <si>
    <t>231.35883836784782</t>
  </si>
  <si>
    <t>9.387016061100733</t>
  </si>
  <si>
    <t>238.95939524301608</t>
  </si>
  <si>
    <t>39.01691440000002</t>
  </si>
  <si>
    <t>9.963074246821972</t>
  </si>
  <si>
    <t>246.5895931151591</t>
  </si>
  <si>
    <t>39.016857100000024</t>
  </si>
  <si>
    <t>9.241542556706412</t>
  </si>
  <si>
    <t>250.78626234425093</t>
  </si>
  <si>
    <t>39.016826600000016</t>
  </si>
  <si>
    <t>10.650369601416706</t>
  </si>
  <si>
    <t>258.7758412904791</t>
  </si>
  <si>
    <t>39.01676866866329</t>
  </si>
  <si>
    <t>9.851008512023885</t>
  </si>
  <si>
    <t>266.8906065141674</t>
  </si>
  <si>
    <t>39.01671073726199</t>
  </si>
  <si>
    <t>9.792313424191457</t>
  </si>
  <si>
    <t>275.1194809837051</t>
  </si>
  <si>
    <t>283.45252681061703</t>
  </si>
  <si>
    <t>39.01659487426562</t>
  </si>
  <si>
    <t>173.38401739512588</t>
  </si>
  <si>
    <t>39.01747510000001</t>
  </si>
  <si>
    <t>5.2682525235162565</t>
  </si>
  <si>
    <t>39.01747510000001,-104.893784,99.828523</t>
  </si>
  <si>
    <t>39.017448400000006</t>
  </si>
  <si>
    <t>11.939907709888834</t>
  </si>
  <si>
    <t>180.86070605135046</t>
  </si>
  <si>
    <t>184.0200672367371</t>
  </si>
  <si>
    <t>39.01741410000001</t>
  </si>
  <si>
    <t>7.085367557240188</t>
  </si>
  <si>
    <t>175.1398973076232</t>
  </si>
  <si>
    <t>39.01748659999999</t>
  </si>
  <si>
    <t>9.185618248205136</t>
  </si>
  <si>
    <t>176.1548257677934</t>
  </si>
  <si>
    <t>39.01747130000001</t>
  </si>
  <si>
    <t>3.5519554064220857</t>
  </si>
  <si>
    <t>179.0712088664654</t>
  </si>
  <si>
    <t>39.017444600000005</t>
  </si>
  <si>
    <t>2.925033145769927</t>
  </si>
  <si>
    <t>191.5028646248247</t>
  </si>
  <si>
    <t>39.01731490000001</t>
  </si>
  <si>
    <t>18.83917252778836</t>
  </si>
  <si>
    <t>194.5528154324567</t>
  </si>
  <si>
    <t>39.017284399999994</t>
  </si>
  <si>
    <t>6.227102542333023</t>
  </si>
  <si>
    <t>191.5547769475578</t>
  </si>
  <si>
    <t>7.763509878177154</t>
  </si>
  <si>
    <t>192.7229452685212</t>
  </si>
  <si>
    <t>5.297520143332329</t>
  </si>
  <si>
    <t>196.19808022716282</t>
  </si>
  <si>
    <t>39.01728060000001</t>
  </si>
  <si>
    <t>4.199776848349157</t>
  </si>
  <si>
    <t>200.50090139008967</t>
  </si>
  <si>
    <t>39.01724240000001</t>
  </si>
  <si>
    <t>4.122140216671693</t>
  </si>
  <si>
    <t>39.01727290000002</t>
  </si>
  <si>
    <t>5.837773366087426</t>
  </si>
  <si>
    <t>5.8622845646838435</t>
  </si>
  <si>
    <t>195.34603658910964</t>
  </si>
  <si>
    <t>39.01729200000001</t>
  </si>
  <si>
    <t>1.0703135948341687</t>
  </si>
  <si>
    <t>193.99062590259973</t>
  </si>
  <si>
    <t>39.01730730000001</t>
  </si>
  <si>
    <t>2.5595558615665635</t>
  </si>
  <si>
    <t>192.09491199655375</t>
  </si>
  <si>
    <t>39.017322500000006</t>
  </si>
  <si>
    <t>2.089415693589565</t>
  </si>
  <si>
    <t>188.02146800560072</t>
  </si>
  <si>
    <t>39.01736070000001</t>
  </si>
  <si>
    <t>4.338220021219293</t>
  </si>
  <si>
    <t>185.51267339742006</t>
  </si>
  <si>
    <t>3.272965727881165</t>
  </si>
  <si>
    <t>182.1728848011041</t>
  </si>
  <si>
    <t>3.273600335947131</t>
  </si>
  <si>
    <t>177.3396021272222</t>
  </si>
  <si>
    <t>39.01744460000001</t>
  </si>
  <si>
    <t>10.242309744233822</t>
  </si>
  <si>
    <t>181.8392511852964</t>
  </si>
  <si>
    <t>39.01739500000001</t>
  </si>
  <si>
    <t>11.720001301181327</t>
  </si>
  <si>
    <t>180.7323614353462</t>
  </si>
  <si>
    <t>39.017402600000004</t>
  </si>
  <si>
    <t>5.169356698613409</t>
  </si>
  <si>
    <t>179.77658007573405</t>
  </si>
  <si>
    <t>39.01741030000001</t>
  </si>
  <si>
    <t>4.589380130608128</t>
  </si>
  <si>
    <t>178.53833750780242</t>
  </si>
  <si>
    <t>5.329711169613837</t>
  </si>
  <si>
    <t>177.8679863017464</t>
  </si>
  <si>
    <t>5.178568471753933</t>
  </si>
  <si>
    <t>177.3131091251369</t>
  </si>
  <si>
    <t>39.017437000000015</t>
  </si>
  <si>
    <t>4.490056067663347</t>
  </si>
  <si>
    <t>176.95098805285676</t>
  </si>
  <si>
    <t>5.232677533347311</t>
  </si>
  <si>
    <t>176.50114847472437</t>
  </si>
  <si>
    <t>39.017452200000015</t>
  </si>
  <si>
    <t>176.39276316386704</t>
  </si>
  <si>
    <t>39.017459900000006</t>
  </si>
  <si>
    <t>5.178566295367063</t>
  </si>
  <si>
    <t>175.91474246758727</t>
  </si>
  <si>
    <t>4.732152799137578</t>
  </si>
  <si>
    <t>176.12216672251236</t>
  </si>
  <si>
    <t>39.01747890000002</t>
  </si>
  <si>
    <t>5.141935028241131</t>
  </si>
  <si>
    <t>176.48003320035494</t>
  </si>
  <si>
    <t>39.017486600000005</t>
  </si>
  <si>
    <t>5.118983592929705</t>
  </si>
  <si>
    <t>176.82371660424087</t>
  </si>
  <si>
    <t>4.633019402251016</t>
  </si>
  <si>
    <t>177.11355326750677</t>
  </si>
  <si>
    <t>39.017505600000014</t>
  </si>
  <si>
    <t>5.333667549434596</t>
  </si>
  <si>
    <t>177.7116899086041</t>
  </si>
  <si>
    <t>178.6796659004037</t>
  </si>
  <si>
    <t>39.01752090000001</t>
  </si>
  <si>
    <t>5.191950845839457</t>
  </si>
  <si>
    <t>179.06378616956312</t>
  </si>
  <si>
    <t>4.490031072824241</t>
  </si>
  <si>
    <t>180.27238724502965</t>
  </si>
  <si>
    <t>5.041639506866717</t>
  </si>
  <si>
    <t>5.222430317098949</t>
  </si>
  <si>
    <t>182.09977967985472</t>
  </si>
  <si>
    <t>4.087479147403445</t>
  </si>
  <si>
    <t>183.43439587703224</t>
  </si>
  <si>
    <t>39.01755621230931</t>
  </si>
  <si>
    <t>2243.6905702516488</t>
  </si>
  <si>
    <t>5.0826197962464015</t>
  </si>
  <si>
    <t>184.89830162141968</t>
  </si>
  <si>
    <t>39.01756482459017</t>
  </si>
  <si>
    <t>2244.589390503297</t>
  </si>
  <si>
    <t>5.0673719289644685</t>
  </si>
  <si>
    <t>186.4884522265173</t>
  </si>
  <si>
    <t>39.01757343684259</t>
  </si>
  <si>
    <t>2245.4882107549456</t>
  </si>
  <si>
    <t>5.072444365739251</t>
  </si>
  <si>
    <t>188.20164772357035</t>
  </si>
  <si>
    <t>39.01758204906655</t>
  </si>
  <si>
    <t>2246.387031006594</t>
  </si>
  <si>
    <t>199.41063238443894</t>
  </si>
  <si>
    <t>39.01730000000002</t>
  </si>
  <si>
    <t>6.426773654462094</t>
  </si>
  <si>
    <t>39.01730000000002,-104.894211,22.551881</t>
  </si>
  <si>
    <t>195.3662243149352</t>
  </si>
  <si>
    <t>39.01733780000001</t>
  </si>
  <si>
    <t>4.0337562681195545</t>
  </si>
  <si>
    <t>191.92714875184794</t>
  </si>
  <si>
    <t>39.01735690000002</t>
  </si>
  <si>
    <t>5.750880764336376</t>
  </si>
  <si>
    <t>188.48696386380382</t>
  </si>
  <si>
    <t>39.01737980000001</t>
  </si>
  <si>
    <t>178.04453656430158</t>
  </si>
  <si>
    <t>11.96141514708278</t>
  </si>
  <si>
    <t>171.7062277368695</t>
  </si>
  <si>
    <t>39.01751329999999</t>
  </si>
  <si>
    <t>6.389369622997802</t>
  </si>
  <si>
    <t>166.98378024243976</t>
  </si>
  <si>
    <t>6.125551850911167</t>
  </si>
  <si>
    <t>162.8027892810679</t>
  </si>
  <si>
    <t>39.017578099999994</t>
  </si>
  <si>
    <t>6.4013881708497085</t>
  </si>
  <si>
    <t>159.9470859903133</t>
  </si>
  <si>
    <t>4.9787059121322725</t>
  </si>
  <si>
    <t>155.94140028280367</t>
  </si>
  <si>
    <t>39.01763149999999</t>
  </si>
  <si>
    <t>6.014203965900305</t>
  </si>
  <si>
    <t>151.69056335105043</t>
  </si>
  <si>
    <t>39.01766589999999</t>
  </si>
  <si>
    <t>6.2916467451264815</t>
  </si>
  <si>
    <t>148.06270038146306</t>
  </si>
  <si>
    <t>39.017696400000005</t>
  </si>
  <si>
    <t>5.652821750560972</t>
  </si>
  <si>
    <t>144.5651368388841</t>
  </si>
  <si>
    <t>39.01772689999999</t>
  </si>
  <si>
    <t>6.008580721996401</t>
  </si>
  <si>
    <t>143.7227830484741</t>
  </si>
  <si>
    <t>39.01773450000001</t>
  </si>
  <si>
    <t>7.000446382081904</t>
  </si>
  <si>
    <t>140.40634034516827</t>
  </si>
  <si>
    <t>39.01776538434676</t>
  </si>
  <si>
    <t>2185.584422391039</t>
  </si>
  <si>
    <t>5.986972505949661</t>
  </si>
  <si>
    <t>137.2689250474346</t>
  </si>
  <si>
    <t>39.01779626866607</t>
  </si>
  <si>
    <t>2186.7147447820776</t>
  </si>
  <si>
    <t>5.968993577233923</t>
  </si>
  <si>
    <t>134.3230824931242</t>
  </si>
  <si>
    <t>39.01782715295791</t>
  </si>
  <si>
    <t>2187.8450671731166</t>
  </si>
  <si>
    <t>5.963024553033144</t>
  </si>
  <si>
    <t>131.58168005988875</t>
  </si>
  <si>
    <t>39.017858037222325</t>
  </si>
  <si>
    <t>2188.975389564156</t>
  </si>
  <si>
    <t>5.963024521218333</t>
  </si>
  <si>
    <t>UNIX Time</t>
  </si>
  <si>
    <t>Relative Time</t>
  </si>
  <si>
    <t>Distance</t>
  </si>
  <si>
    <t>Latitude</t>
  </si>
  <si>
    <t>Longitude</t>
  </si>
  <si>
    <t>Speed</t>
  </si>
  <si>
    <t>Radar Position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</si>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</sst>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B1" sqref="B1:C1048576"/>
    </sheetView>
  </sheetViews>
  <sheetFormatPr defaultRowHeight="14.5" x14ac:dyDescent="0.35"/>
  <cols>
    <col min="1" max="1" width="15.7265625" customWidth="1"/>
    <col min="2" max="2" width="9.54296875" bestFit="1" customWidth="1"/>
    <col min="3" max="4" width="18.7265625" bestFit="1" customWidth="1"/>
    <col min="5" max="5" width="12.7265625" bestFit="1" customWidth="1"/>
    <col min="6" max="7" width="18.7265625" bestFit="1" customWidth="1"/>
    <col min="8" max="8" width="38" bestFit="1" customWidth="1"/>
  </cols>
  <sheetData>
    <row r="1" spans="1:8" x14ac:dyDescent="0.35">
      <c r="A1">
        <v>1728062436</v>
      </c>
      <c r="B1">
        <f>0</f>
        <v>0</v>
      </c>
      <c r="C1" s="1" t="s">
        <v>0</v>
      </c>
      <c r="D1" s="1" t="s">
        <v>1</v>
      </c>
      <c r="E1">
        <v>-104.89334100000001</v>
      </c>
      <c r="F1">
        <v>2168.33862</v>
      </c>
      <c r="G1">
        <v>12.280223145885699</v>
      </c>
      <c r="H1" t="s">
        <v>2</v>
      </c>
    </row>
    <row r="2" spans="1:8" x14ac:dyDescent="0.35">
      <c r="A2">
        <v>1728062437</v>
      </c>
      <c r="B2">
        <f>A2-$A$1</f>
        <v>1</v>
      </c>
      <c r="C2" s="1" t="s">
        <v>3</v>
      </c>
      <c r="D2" s="1" t="s">
        <v>4</v>
      </c>
      <c r="E2">
        <v>-104.893463</v>
      </c>
      <c r="F2">
        <v>2166.3205600000001</v>
      </c>
      <c r="G2" s="1" t="s">
        <v>5</v>
      </c>
      <c r="H2" t="s">
        <v>2</v>
      </c>
    </row>
    <row r="3" spans="1:8" x14ac:dyDescent="0.35">
      <c r="A3">
        <v>1728062438</v>
      </c>
      <c r="B3">
        <f t="shared" ref="B3:B30" si="0">A3-$A$1</f>
        <v>2</v>
      </c>
      <c r="C3" s="1" t="s">
        <v>6</v>
      </c>
      <c r="D3" s="1" t="s">
        <v>7</v>
      </c>
      <c r="E3">
        <v>-104.893585</v>
      </c>
      <c r="F3">
        <v>2167.4404300000001</v>
      </c>
      <c r="G3" s="1" t="s">
        <v>8</v>
      </c>
      <c r="H3" t="s">
        <v>2</v>
      </c>
    </row>
    <row r="4" spans="1:8" x14ac:dyDescent="0.35">
      <c r="A4">
        <v>1728062439</v>
      </c>
      <c r="B4">
        <f t="shared" si="0"/>
        <v>3</v>
      </c>
      <c r="C4" s="1" t="s">
        <v>9</v>
      </c>
      <c r="D4">
        <v>39.017391199999999</v>
      </c>
      <c r="E4">
        <v>-104.893692</v>
      </c>
      <c r="F4">
        <v>2168.4716800000001</v>
      </c>
      <c r="G4" s="1" t="s">
        <v>10</v>
      </c>
      <c r="H4" t="s">
        <v>2</v>
      </c>
    </row>
    <row r="5" spans="1:8" x14ac:dyDescent="0.35">
      <c r="A5">
        <v>1728062440</v>
      </c>
      <c r="B5">
        <f t="shared" si="0"/>
        <v>4</v>
      </c>
      <c r="C5" s="1" t="s">
        <v>11</v>
      </c>
      <c r="D5" s="1" t="s">
        <v>12</v>
      </c>
      <c r="E5">
        <v>-104.893806</v>
      </c>
      <c r="F5">
        <v>2168.19409</v>
      </c>
      <c r="G5" s="1" t="s">
        <v>13</v>
      </c>
      <c r="H5" t="s">
        <v>2</v>
      </c>
    </row>
    <row r="6" spans="1:8" x14ac:dyDescent="0.35">
      <c r="A6">
        <v>1728062441</v>
      </c>
      <c r="B6">
        <f t="shared" si="0"/>
        <v>5</v>
      </c>
      <c r="C6" s="1" t="s">
        <v>14</v>
      </c>
      <c r="D6" s="1" t="s">
        <v>15</v>
      </c>
      <c r="E6">
        <v>-104.89392100000001</v>
      </c>
      <c r="F6">
        <v>2172.0351599999999</v>
      </c>
      <c r="G6" s="1" t="s">
        <v>16</v>
      </c>
      <c r="H6" t="s">
        <v>2</v>
      </c>
    </row>
    <row r="7" spans="1:8" x14ac:dyDescent="0.35">
      <c r="A7">
        <v>1728062442</v>
      </c>
      <c r="B7">
        <f t="shared" si="0"/>
        <v>6</v>
      </c>
      <c r="C7" s="1" t="s">
        <v>17</v>
      </c>
      <c r="D7" s="1" t="s">
        <v>18</v>
      </c>
      <c r="E7">
        <v>-104.894035</v>
      </c>
      <c r="F7">
        <v>2175.8845200000001</v>
      </c>
      <c r="G7" s="1" t="s">
        <v>19</v>
      </c>
      <c r="H7" t="s">
        <v>2</v>
      </c>
    </row>
    <row r="8" spans="1:8" x14ac:dyDescent="0.35">
      <c r="A8">
        <v>1728062442</v>
      </c>
      <c r="B8">
        <f t="shared" si="0"/>
        <v>6</v>
      </c>
      <c r="C8" s="1" t="s">
        <v>20</v>
      </c>
      <c r="D8" s="1" t="s">
        <v>21</v>
      </c>
      <c r="E8">
        <v>-104.89411200000001</v>
      </c>
      <c r="F8">
        <v>2175.7834499999999</v>
      </c>
      <c r="G8" s="1" t="s">
        <v>22</v>
      </c>
      <c r="H8" t="s">
        <v>2</v>
      </c>
    </row>
    <row r="9" spans="1:8" x14ac:dyDescent="0.35">
      <c r="A9">
        <v>1728062444</v>
      </c>
      <c r="B9">
        <f t="shared" si="0"/>
        <v>8</v>
      </c>
      <c r="C9" s="1" t="s">
        <v>23</v>
      </c>
      <c r="D9">
        <v>39.017699999999998</v>
      </c>
      <c r="E9">
        <v>-104.894234</v>
      </c>
      <c r="F9">
        <v>2173.31</v>
      </c>
      <c r="G9" s="1" t="s">
        <v>24</v>
      </c>
      <c r="H9" t="s">
        <v>2</v>
      </c>
    </row>
    <row r="10" spans="1:8" x14ac:dyDescent="0.35">
      <c r="A10">
        <v>1728062444</v>
      </c>
      <c r="B10">
        <f t="shared" si="0"/>
        <v>8</v>
      </c>
      <c r="C10" s="1" t="s">
        <v>25</v>
      </c>
      <c r="D10">
        <v>39.017746000000002</v>
      </c>
      <c r="E10">
        <v>-104.894341</v>
      </c>
      <c r="F10">
        <v>2172.1152299999999</v>
      </c>
      <c r="G10" s="1" t="s">
        <v>26</v>
      </c>
      <c r="H10" t="s">
        <v>2</v>
      </c>
    </row>
    <row r="11" spans="1:8" x14ac:dyDescent="0.35">
      <c r="A11">
        <v>1728062445</v>
      </c>
      <c r="B11">
        <f t="shared" si="0"/>
        <v>9</v>
      </c>
      <c r="C11" s="1" t="s">
        <v>27</v>
      </c>
      <c r="D11">
        <v>39.017791699999997</v>
      </c>
      <c r="E11">
        <v>-104.894447</v>
      </c>
      <c r="F11">
        <v>2170.9880400000002</v>
      </c>
      <c r="G11" s="1" t="s">
        <v>28</v>
      </c>
      <c r="H11" t="s">
        <v>2</v>
      </c>
    </row>
    <row r="12" spans="1:8" x14ac:dyDescent="0.35">
      <c r="A12">
        <v>1728062447</v>
      </c>
      <c r="B12">
        <f t="shared" si="0"/>
        <v>11</v>
      </c>
      <c r="C12" s="1" t="s">
        <v>29</v>
      </c>
      <c r="D12" s="1" t="s">
        <v>30</v>
      </c>
      <c r="E12">
        <v>-104.894524</v>
      </c>
      <c r="F12">
        <v>2172.6</v>
      </c>
      <c r="G12" s="1" t="s">
        <v>31</v>
      </c>
      <c r="H12" t="s">
        <v>2</v>
      </c>
    </row>
    <row r="13" spans="1:8" x14ac:dyDescent="0.35">
      <c r="A13">
        <v>1728062448</v>
      </c>
      <c r="B13">
        <f t="shared" si="0"/>
        <v>12</v>
      </c>
      <c r="C13" s="1" t="s">
        <v>32</v>
      </c>
      <c r="D13" s="1" t="s">
        <v>33</v>
      </c>
      <c r="E13">
        <v>-104.894638</v>
      </c>
      <c r="F13">
        <v>2175.34229</v>
      </c>
      <c r="G13" s="1" t="s">
        <v>34</v>
      </c>
      <c r="H13" t="s">
        <v>2</v>
      </c>
    </row>
    <row r="14" spans="1:8" x14ac:dyDescent="0.35">
      <c r="A14">
        <v>1728062449</v>
      </c>
      <c r="B14">
        <f t="shared" si="0"/>
        <v>13</v>
      </c>
      <c r="C14" s="1" t="s">
        <v>35</v>
      </c>
      <c r="D14" s="1" t="s">
        <v>36</v>
      </c>
      <c r="E14">
        <v>-104.89475299999999</v>
      </c>
      <c r="F14">
        <v>2175.1601599999999</v>
      </c>
      <c r="G14" s="1" t="s">
        <v>37</v>
      </c>
      <c r="H14" t="s">
        <v>2</v>
      </c>
    </row>
    <row r="15" spans="1:8" x14ac:dyDescent="0.35">
      <c r="A15">
        <v>1728062450</v>
      </c>
      <c r="B15">
        <f t="shared" si="0"/>
        <v>14</v>
      </c>
      <c r="C15" s="1" t="s">
        <v>38</v>
      </c>
      <c r="D15">
        <v>39.017948199999999</v>
      </c>
      <c r="E15">
        <v>-104.894852</v>
      </c>
      <c r="F15">
        <v>2180.4008800000001</v>
      </c>
      <c r="G15">
        <v>9.1671921116558597</v>
      </c>
      <c r="H15" t="s">
        <v>2</v>
      </c>
    </row>
    <row r="16" spans="1:8" x14ac:dyDescent="0.35">
      <c r="A16">
        <v>1728062451</v>
      </c>
      <c r="B16">
        <f t="shared" si="0"/>
        <v>15</v>
      </c>
      <c r="C16" s="1" t="s">
        <v>39</v>
      </c>
      <c r="D16" s="1" t="s">
        <v>40</v>
      </c>
      <c r="E16">
        <v>-104.894966</v>
      </c>
      <c r="F16">
        <v>2183.3808600000002</v>
      </c>
      <c r="G16" s="1" t="s">
        <v>41</v>
      </c>
      <c r="H16" t="s">
        <v>2</v>
      </c>
    </row>
    <row r="17" spans="1:8" x14ac:dyDescent="0.35">
      <c r="A17">
        <v>1728062452</v>
      </c>
      <c r="B17">
        <f t="shared" si="0"/>
        <v>16</v>
      </c>
      <c r="C17" s="1" t="s">
        <v>42</v>
      </c>
      <c r="D17" s="1" t="s">
        <v>43</v>
      </c>
      <c r="E17">
        <v>-104.89510300000001</v>
      </c>
      <c r="F17">
        <v>2181.2133800000001</v>
      </c>
      <c r="G17" s="1" t="s">
        <v>44</v>
      </c>
      <c r="H17" t="s">
        <v>2</v>
      </c>
    </row>
    <row r="18" spans="1:8" x14ac:dyDescent="0.35">
      <c r="A18">
        <v>1728062453</v>
      </c>
      <c r="B18">
        <f t="shared" si="0"/>
        <v>17</v>
      </c>
      <c r="C18" s="1" t="s">
        <v>45</v>
      </c>
      <c r="D18" s="1" t="s">
        <v>46</v>
      </c>
      <c r="E18">
        <v>-104.89521000000001</v>
      </c>
      <c r="F18">
        <v>2172.3132300000002</v>
      </c>
      <c r="G18" s="1" t="s">
        <v>47</v>
      </c>
      <c r="H18" t="s">
        <v>2</v>
      </c>
    </row>
    <row r="19" spans="1:8" x14ac:dyDescent="0.35">
      <c r="A19">
        <v>1728062454</v>
      </c>
      <c r="B19">
        <f t="shared" si="0"/>
        <v>18</v>
      </c>
      <c r="C19" s="1" t="s">
        <v>48</v>
      </c>
      <c r="D19">
        <v>39.018016799999998</v>
      </c>
      <c r="E19">
        <v>-104.89531700000001</v>
      </c>
      <c r="F19">
        <v>2169.9858399999998</v>
      </c>
      <c r="G19" s="1" t="s">
        <v>49</v>
      </c>
      <c r="H19" t="s">
        <v>2</v>
      </c>
    </row>
    <row r="20" spans="1:8" x14ac:dyDescent="0.35">
      <c r="A20">
        <v>1728062455</v>
      </c>
      <c r="B20">
        <f t="shared" si="0"/>
        <v>19</v>
      </c>
      <c r="C20" s="1" t="s">
        <v>50</v>
      </c>
      <c r="D20">
        <v>39.018035900000001</v>
      </c>
      <c r="E20">
        <v>-104.895432</v>
      </c>
      <c r="F20" s="1" t="s">
        <v>51</v>
      </c>
      <c r="G20" s="1" t="s">
        <v>52</v>
      </c>
      <c r="H20" t="s">
        <v>2</v>
      </c>
    </row>
    <row r="21" spans="1:8" x14ac:dyDescent="0.35">
      <c r="A21">
        <v>1728062455</v>
      </c>
      <c r="B21">
        <f t="shared" si="0"/>
        <v>19</v>
      </c>
      <c r="C21" s="1" t="s">
        <v>53</v>
      </c>
      <c r="D21" s="1" t="s">
        <v>54</v>
      </c>
      <c r="E21">
        <v>-104.895515</v>
      </c>
      <c r="F21">
        <v>2165.91284</v>
      </c>
      <c r="G21">
        <v>8.9733247579420006</v>
      </c>
      <c r="H21" t="s">
        <v>2</v>
      </c>
    </row>
    <row r="22" spans="1:8" x14ac:dyDescent="0.35">
      <c r="A22">
        <v>1728062456</v>
      </c>
      <c r="B22">
        <f t="shared" si="0"/>
        <v>20</v>
      </c>
      <c r="C22" s="1" t="s">
        <v>55</v>
      </c>
      <c r="D22" s="1" t="s">
        <v>56</v>
      </c>
      <c r="E22">
        <v>-104.895622</v>
      </c>
      <c r="F22">
        <v>2163.5852100000002</v>
      </c>
      <c r="G22">
        <v>9.8848700825194893</v>
      </c>
      <c r="H22" t="s">
        <v>2</v>
      </c>
    </row>
    <row r="23" spans="1:8" x14ac:dyDescent="0.35">
      <c r="A23">
        <v>1728062458</v>
      </c>
      <c r="B23">
        <f t="shared" si="0"/>
        <v>22</v>
      </c>
      <c r="C23" s="1" t="s">
        <v>57</v>
      </c>
      <c r="D23" s="1" t="s">
        <v>58</v>
      </c>
      <c r="E23">
        <v>-104.895737</v>
      </c>
      <c r="F23">
        <v>2161.2578100000001</v>
      </c>
      <c r="G23" s="1" t="s">
        <v>59</v>
      </c>
      <c r="H23" t="s">
        <v>2</v>
      </c>
    </row>
    <row r="24" spans="1:8" x14ac:dyDescent="0.35">
      <c r="A24">
        <v>1728062459</v>
      </c>
      <c r="B24">
        <f t="shared" si="0"/>
        <v>23</v>
      </c>
      <c r="C24" s="1" t="s">
        <v>60</v>
      </c>
      <c r="D24" s="1" t="s">
        <v>61</v>
      </c>
      <c r="E24">
        <v>-104.895844</v>
      </c>
      <c r="F24">
        <v>2158.9304200000001</v>
      </c>
      <c r="G24" s="1" t="s">
        <v>62</v>
      </c>
      <c r="H24" t="s">
        <v>2</v>
      </c>
    </row>
    <row r="25" spans="1:8" x14ac:dyDescent="0.35">
      <c r="A25">
        <v>1728062460</v>
      </c>
      <c r="B25">
        <f t="shared" si="0"/>
        <v>24</v>
      </c>
      <c r="C25" s="1" t="s">
        <v>63</v>
      </c>
      <c r="D25" s="1" t="s">
        <v>64</v>
      </c>
      <c r="E25">
        <v>-104.895957999999</v>
      </c>
      <c r="F25">
        <v>2156.6030300000002</v>
      </c>
      <c r="G25" s="1" t="s">
        <v>65</v>
      </c>
      <c r="H25" t="s">
        <v>2</v>
      </c>
    </row>
    <row r="26" spans="1:8" x14ac:dyDescent="0.35">
      <c r="A26">
        <v>1728062460</v>
      </c>
      <c r="B26">
        <f t="shared" si="0"/>
        <v>24</v>
      </c>
      <c r="C26" s="1" t="s">
        <v>66</v>
      </c>
      <c r="D26" s="1" t="s">
        <v>67</v>
      </c>
      <c r="E26">
        <v>-104.89598100000001</v>
      </c>
      <c r="F26">
        <v>2156.02124</v>
      </c>
      <c r="G26" s="1" t="s">
        <v>68</v>
      </c>
      <c r="H26" t="s">
        <v>2</v>
      </c>
    </row>
    <row r="27" spans="1:8" x14ac:dyDescent="0.35">
      <c r="A27">
        <v>1728062461</v>
      </c>
      <c r="B27">
        <f t="shared" si="0"/>
        <v>25</v>
      </c>
      <c r="C27" s="1" t="s">
        <v>69</v>
      </c>
      <c r="D27" s="1" t="s">
        <v>70</v>
      </c>
      <c r="E27">
        <v>-104.896091802719</v>
      </c>
      <c r="F27" s="1" t="s">
        <v>71</v>
      </c>
      <c r="G27" s="1" t="s">
        <v>72</v>
      </c>
      <c r="H27" t="s">
        <v>2</v>
      </c>
    </row>
    <row r="28" spans="1:8" x14ac:dyDescent="0.35">
      <c r="A28">
        <v>1728062462</v>
      </c>
      <c r="B28">
        <f t="shared" si="0"/>
        <v>26</v>
      </c>
      <c r="C28" s="1" t="s">
        <v>73</v>
      </c>
      <c r="D28" s="1" t="s">
        <v>74</v>
      </c>
      <c r="E28">
        <v>-104.896202605502</v>
      </c>
      <c r="F28" s="1" t="s">
        <v>75</v>
      </c>
      <c r="G28">
        <v>9.8510810951558199</v>
      </c>
      <c r="H28" t="s">
        <v>2</v>
      </c>
    </row>
    <row r="29" spans="1:8" x14ac:dyDescent="0.35">
      <c r="A29">
        <v>1728062463</v>
      </c>
      <c r="B29">
        <f t="shared" si="0"/>
        <v>27</v>
      </c>
      <c r="C29" s="1" t="s">
        <v>76</v>
      </c>
      <c r="D29" s="1" t="s">
        <v>77</v>
      </c>
      <c r="E29">
        <v>-104.89631340835</v>
      </c>
      <c r="F29" s="1" t="s">
        <v>78</v>
      </c>
      <c r="G29" s="1" t="s">
        <v>79</v>
      </c>
      <c r="H29" t="s">
        <v>2</v>
      </c>
    </row>
    <row r="30" spans="1:8" x14ac:dyDescent="0.35">
      <c r="A30">
        <v>1728062464</v>
      </c>
      <c r="B30">
        <f t="shared" si="0"/>
        <v>28</v>
      </c>
      <c r="C30" s="1" t="s">
        <v>80</v>
      </c>
      <c r="D30" s="1" t="s">
        <v>81</v>
      </c>
      <c r="E30">
        <v>-104.896424211262</v>
      </c>
      <c r="F30" s="1" t="s">
        <v>82</v>
      </c>
      <c r="G30" s="1" t="s">
        <v>83</v>
      </c>
      <c r="H30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9FD3-892D-498E-B9F2-0FCD6822EBF4}">
  <dimension ref="A1:H30"/>
  <sheetViews>
    <sheetView workbookViewId="0">
      <selection sqref="A1:XFD1"/>
    </sheetView>
  </sheetViews>
  <sheetFormatPr defaultRowHeight="14.5" x14ac:dyDescent="0.35"/>
  <cols>
    <col min="1" max="1" width="15.7265625" customWidth="1"/>
    <col min="2" max="2" width="9.54296875" bestFit="1" customWidth="1"/>
    <col min="3" max="4" width="18.7265625" bestFit="1" customWidth="1"/>
    <col min="5" max="5" width="12.7265625" bestFit="1" customWidth="1"/>
    <col min="6" max="7" width="18.7265625" bestFit="1" customWidth="1"/>
    <col min="8" max="8" width="38" bestFit="1" customWidth="1"/>
  </cols>
  <sheetData>
    <row r="1" spans="1:8" x14ac:dyDescent="0.35">
      <c r="A1">
        <v>1728062331</v>
      </c>
      <c r="B1">
        <f>0</f>
        <v>0</v>
      </c>
      <c r="C1" s="1" t="s">
        <v>84</v>
      </c>
      <c r="D1" s="1" t="s">
        <v>85</v>
      </c>
      <c r="E1">
        <v>-104.894424</v>
      </c>
      <c r="F1">
        <v>2169.4091800000001</v>
      </c>
      <c r="G1" s="1" t="s">
        <v>86</v>
      </c>
      <c r="H1" t="s">
        <v>87</v>
      </c>
    </row>
    <row r="2" spans="1:8" x14ac:dyDescent="0.35">
      <c r="A2">
        <v>1728062332</v>
      </c>
      <c r="B2">
        <f>A2-$A$1</f>
        <v>1</v>
      </c>
      <c r="C2" s="1" t="s">
        <v>88</v>
      </c>
      <c r="D2">
        <v>39.017620100000002</v>
      </c>
      <c r="E2">
        <v>-104.89445499999999</v>
      </c>
      <c r="F2">
        <v>2170.2329100000002</v>
      </c>
      <c r="G2" s="1" t="s">
        <v>89</v>
      </c>
      <c r="H2" t="s">
        <v>87</v>
      </c>
    </row>
    <row r="3" spans="1:8" x14ac:dyDescent="0.35">
      <c r="A3">
        <v>1728062334</v>
      </c>
      <c r="B3">
        <f t="shared" ref="B3:B23" si="0">A3-$A$1</f>
        <v>3</v>
      </c>
      <c r="C3" s="1" t="s">
        <v>90</v>
      </c>
      <c r="D3" s="1" t="s">
        <v>91</v>
      </c>
      <c r="E3">
        <v>-104.89445499999999</v>
      </c>
      <c r="F3">
        <v>2170.9189500000002</v>
      </c>
      <c r="G3" s="1" t="s">
        <v>92</v>
      </c>
      <c r="H3" t="s">
        <v>87</v>
      </c>
    </row>
    <row r="4" spans="1:8" x14ac:dyDescent="0.35">
      <c r="A4">
        <v>1728062335</v>
      </c>
      <c r="B4">
        <f t="shared" si="0"/>
        <v>4</v>
      </c>
      <c r="C4" s="1" t="s">
        <v>93</v>
      </c>
      <c r="D4" s="1" t="s">
        <v>94</v>
      </c>
      <c r="E4">
        <v>-104.894234</v>
      </c>
      <c r="F4">
        <v>2168.2058099999999</v>
      </c>
      <c r="G4" s="1" t="s">
        <v>95</v>
      </c>
      <c r="H4" t="s">
        <v>87</v>
      </c>
    </row>
    <row r="5" spans="1:8" x14ac:dyDescent="0.35">
      <c r="A5">
        <v>1728062336</v>
      </c>
      <c r="B5">
        <f t="shared" si="0"/>
        <v>5</v>
      </c>
      <c r="C5" s="1" t="s">
        <v>96</v>
      </c>
      <c r="D5" s="1" t="s">
        <v>97</v>
      </c>
      <c r="E5">
        <v>-104.894104</v>
      </c>
      <c r="F5">
        <v>2177.95435</v>
      </c>
      <c r="G5" s="1" t="s">
        <v>98</v>
      </c>
      <c r="H5" t="s">
        <v>87</v>
      </c>
    </row>
    <row r="6" spans="1:8" x14ac:dyDescent="0.35">
      <c r="A6">
        <v>1728062337</v>
      </c>
      <c r="B6">
        <f t="shared" si="0"/>
        <v>6</v>
      </c>
      <c r="C6" s="1" t="s">
        <v>99</v>
      </c>
      <c r="D6">
        <v>39.017555199999997</v>
      </c>
      <c r="E6">
        <v>-104.89400500000001</v>
      </c>
      <c r="F6">
        <v>2189.24683</v>
      </c>
      <c r="G6" s="1" t="s">
        <v>100</v>
      </c>
      <c r="H6" t="s">
        <v>87</v>
      </c>
    </row>
    <row r="7" spans="1:8" x14ac:dyDescent="0.35">
      <c r="A7">
        <v>1728062338</v>
      </c>
      <c r="B7">
        <f t="shared" si="0"/>
        <v>7</v>
      </c>
      <c r="C7" s="1" t="s">
        <v>101</v>
      </c>
      <c r="D7" s="1" t="s">
        <v>102</v>
      </c>
      <c r="E7">
        <v>-104.893929</v>
      </c>
      <c r="F7">
        <v>2190.65479</v>
      </c>
      <c r="G7">
        <v>10.538421929152401</v>
      </c>
      <c r="H7" t="s">
        <v>87</v>
      </c>
    </row>
    <row r="8" spans="1:8" x14ac:dyDescent="0.35">
      <c r="A8">
        <v>1728062339</v>
      </c>
      <c r="B8">
        <f t="shared" si="0"/>
        <v>8</v>
      </c>
      <c r="C8" s="1" t="s">
        <v>103</v>
      </c>
      <c r="D8">
        <v>39.0174217</v>
      </c>
      <c r="E8">
        <v>-104.893845</v>
      </c>
      <c r="F8">
        <v>2196.3046899999999</v>
      </c>
      <c r="G8" s="1" t="s">
        <v>104</v>
      </c>
      <c r="H8" t="s">
        <v>87</v>
      </c>
    </row>
    <row r="9" spans="1:8" x14ac:dyDescent="0.35">
      <c r="A9">
        <v>1728062340</v>
      </c>
      <c r="B9">
        <f t="shared" si="0"/>
        <v>9</v>
      </c>
      <c r="C9" s="1" t="s">
        <v>105</v>
      </c>
      <c r="D9" s="1" t="s">
        <v>106</v>
      </c>
      <c r="E9">
        <v>-104.893753</v>
      </c>
      <c r="F9">
        <v>2201.9548300000001</v>
      </c>
      <c r="G9">
        <v>9.7882615429076392</v>
      </c>
      <c r="H9" t="s">
        <v>87</v>
      </c>
    </row>
    <row r="10" spans="1:8" x14ac:dyDescent="0.35">
      <c r="A10">
        <v>1728062341</v>
      </c>
      <c r="B10">
        <f t="shared" si="0"/>
        <v>10</v>
      </c>
      <c r="C10" s="1" t="s">
        <v>107</v>
      </c>
      <c r="D10" s="1" t="s">
        <v>108</v>
      </c>
      <c r="E10">
        <v>-104.893669</v>
      </c>
      <c r="F10">
        <v>2207.6049800000001</v>
      </c>
      <c r="G10" s="1" t="s">
        <v>109</v>
      </c>
      <c r="H10" t="s">
        <v>87</v>
      </c>
    </row>
    <row r="11" spans="1:8" x14ac:dyDescent="0.35">
      <c r="A11">
        <v>1728062341</v>
      </c>
      <c r="B11">
        <f t="shared" si="0"/>
        <v>10</v>
      </c>
      <c r="C11" s="1" t="s">
        <v>110</v>
      </c>
      <c r="D11">
        <v>39.017261499999996</v>
      </c>
      <c r="E11">
        <v>-104.89360000000001</v>
      </c>
      <c r="F11">
        <v>2211.8425299999999</v>
      </c>
      <c r="G11" s="1" t="s">
        <v>111</v>
      </c>
      <c r="H11" t="s">
        <v>87</v>
      </c>
    </row>
    <row r="12" spans="1:8" x14ac:dyDescent="0.35">
      <c r="A12">
        <v>1728062342</v>
      </c>
      <c r="B12">
        <f t="shared" si="0"/>
        <v>11</v>
      </c>
      <c r="C12" s="1" t="s">
        <v>112</v>
      </c>
      <c r="D12">
        <v>39.017204300000003</v>
      </c>
      <c r="E12">
        <v>-104.893517</v>
      </c>
      <c r="F12">
        <v>2217.4926799999998</v>
      </c>
      <c r="G12" s="1" t="s">
        <v>113</v>
      </c>
      <c r="H12" t="s">
        <v>87</v>
      </c>
    </row>
    <row r="13" spans="1:8" x14ac:dyDescent="0.35">
      <c r="A13">
        <v>1728062344</v>
      </c>
      <c r="B13">
        <f t="shared" si="0"/>
        <v>13</v>
      </c>
      <c r="C13" s="1" t="s">
        <v>114</v>
      </c>
      <c r="D13" s="1" t="s">
        <v>115</v>
      </c>
      <c r="E13">
        <v>-104.893433</v>
      </c>
      <c r="F13">
        <v>2223.14282</v>
      </c>
      <c r="G13" s="1" t="s">
        <v>116</v>
      </c>
      <c r="H13" t="s">
        <v>87</v>
      </c>
    </row>
    <row r="14" spans="1:8" x14ac:dyDescent="0.35">
      <c r="A14">
        <v>1728062345</v>
      </c>
      <c r="B14">
        <f t="shared" si="0"/>
        <v>14</v>
      </c>
      <c r="C14" s="1" t="s">
        <v>117</v>
      </c>
      <c r="D14" s="1" t="s">
        <v>118</v>
      </c>
      <c r="E14">
        <v>-104.89334100000001</v>
      </c>
      <c r="F14">
        <v>2228.79297</v>
      </c>
      <c r="G14" s="1" t="s">
        <v>119</v>
      </c>
      <c r="H14" t="s">
        <v>87</v>
      </c>
    </row>
    <row r="15" spans="1:8" x14ac:dyDescent="0.35">
      <c r="A15">
        <v>1728062346</v>
      </c>
      <c r="B15">
        <f t="shared" si="0"/>
        <v>15</v>
      </c>
      <c r="C15" s="1" t="s">
        <v>120</v>
      </c>
      <c r="D15">
        <v>39.017028799999999</v>
      </c>
      <c r="E15">
        <v>-104.89325700000001</v>
      </c>
      <c r="F15">
        <v>2234.4431199999999</v>
      </c>
      <c r="G15" s="1" t="s">
        <v>121</v>
      </c>
      <c r="H15" t="s">
        <v>87</v>
      </c>
    </row>
    <row r="16" spans="1:8" x14ac:dyDescent="0.35">
      <c r="A16">
        <v>1728062347</v>
      </c>
      <c r="B16">
        <f t="shared" si="0"/>
        <v>16</v>
      </c>
      <c r="C16" s="1" t="s">
        <v>122</v>
      </c>
      <c r="D16">
        <v>39.016971599999998</v>
      </c>
      <c r="E16">
        <v>-104.893173</v>
      </c>
      <c r="F16">
        <v>2240.0932600000001</v>
      </c>
      <c r="G16" s="1" t="s">
        <v>123</v>
      </c>
      <c r="H16" t="s">
        <v>87</v>
      </c>
    </row>
    <row r="17" spans="1:8" x14ac:dyDescent="0.35">
      <c r="A17">
        <v>1728062348</v>
      </c>
      <c r="B17">
        <f t="shared" si="0"/>
        <v>17</v>
      </c>
      <c r="C17" s="1" t="s">
        <v>124</v>
      </c>
      <c r="D17" s="1" t="s">
        <v>125</v>
      </c>
      <c r="E17">
        <v>-104.89308200000001</v>
      </c>
      <c r="F17">
        <v>2245.74316</v>
      </c>
      <c r="G17" s="1" t="s">
        <v>126</v>
      </c>
      <c r="H17" t="s">
        <v>87</v>
      </c>
    </row>
    <row r="18" spans="1:8" x14ac:dyDescent="0.35">
      <c r="A18">
        <v>1728062349</v>
      </c>
      <c r="B18">
        <f t="shared" si="0"/>
        <v>18</v>
      </c>
      <c r="C18" s="1" t="s">
        <v>127</v>
      </c>
      <c r="D18" s="1" t="s">
        <v>128</v>
      </c>
      <c r="E18">
        <v>-104.893</v>
      </c>
      <c r="F18">
        <v>2251.3933099999999</v>
      </c>
      <c r="G18" s="1" t="s">
        <v>129</v>
      </c>
      <c r="H18" t="s">
        <v>87</v>
      </c>
    </row>
    <row r="19" spans="1:8" x14ac:dyDescent="0.35">
      <c r="A19">
        <v>1728062349</v>
      </c>
      <c r="B19">
        <f t="shared" si="0"/>
        <v>18</v>
      </c>
      <c r="C19" s="1" t="s">
        <v>130</v>
      </c>
      <c r="D19" s="1" t="s">
        <v>131</v>
      </c>
      <c r="E19">
        <v>-104.89295199999999</v>
      </c>
      <c r="F19">
        <v>2254.2185100000002</v>
      </c>
      <c r="G19" s="1" t="s">
        <v>132</v>
      </c>
      <c r="H19" t="s">
        <v>87</v>
      </c>
    </row>
    <row r="20" spans="1:8" x14ac:dyDescent="0.35">
      <c r="A20">
        <v>1728062350</v>
      </c>
      <c r="B20">
        <f t="shared" si="0"/>
        <v>19</v>
      </c>
      <c r="C20" s="1" t="s">
        <v>133</v>
      </c>
      <c r="D20" s="1" t="s">
        <v>134</v>
      </c>
      <c r="E20">
        <v>-104.892865582127</v>
      </c>
      <c r="F20">
        <v>2259.86312083648</v>
      </c>
      <c r="G20" s="1" t="s">
        <v>135</v>
      </c>
      <c r="H20" t="s">
        <v>87</v>
      </c>
    </row>
    <row r="21" spans="1:8" x14ac:dyDescent="0.35">
      <c r="A21">
        <v>1728062351</v>
      </c>
      <c r="B21">
        <f t="shared" si="0"/>
        <v>20</v>
      </c>
      <c r="C21" s="1" t="s">
        <v>136</v>
      </c>
      <c r="D21" s="1" t="s">
        <v>137</v>
      </c>
      <c r="E21">
        <v>-104.892779164396</v>
      </c>
      <c r="F21">
        <v>2265.5077316729598</v>
      </c>
      <c r="G21" s="1" t="s">
        <v>138</v>
      </c>
      <c r="H21" t="s">
        <v>87</v>
      </c>
    </row>
    <row r="22" spans="1:8" x14ac:dyDescent="0.35">
      <c r="A22">
        <v>1728062352</v>
      </c>
      <c r="B22">
        <f t="shared" si="0"/>
        <v>21</v>
      </c>
      <c r="C22" s="1" t="s">
        <v>139</v>
      </c>
      <c r="D22">
        <v>39.016652805796099</v>
      </c>
      <c r="E22">
        <v>-104.892692746805</v>
      </c>
      <c r="F22">
        <v>2271.1523425094401</v>
      </c>
      <c r="G22">
        <v>9.9203820079291898</v>
      </c>
      <c r="H22" t="s">
        <v>87</v>
      </c>
    </row>
    <row r="23" spans="1:8" x14ac:dyDescent="0.35">
      <c r="A23">
        <v>1728062353</v>
      </c>
      <c r="B23">
        <f t="shared" si="0"/>
        <v>22</v>
      </c>
      <c r="C23" s="1" t="s">
        <v>140</v>
      </c>
      <c r="D23" s="1" t="s">
        <v>141</v>
      </c>
      <c r="E23">
        <v>-104.892606329356</v>
      </c>
      <c r="F23">
        <v>2276.79695334592</v>
      </c>
      <c r="G23">
        <v>9.8608598145252309</v>
      </c>
      <c r="H23" t="s">
        <v>87</v>
      </c>
    </row>
    <row r="24" spans="1:8" x14ac:dyDescent="0.35">
      <c r="C24" s="1"/>
      <c r="D24" s="1"/>
      <c r="G24" s="1"/>
    </row>
    <row r="25" spans="1:8" x14ac:dyDescent="0.35">
      <c r="C25" s="1"/>
      <c r="D25" s="1"/>
      <c r="G25" s="1"/>
    </row>
    <row r="26" spans="1:8" x14ac:dyDescent="0.35">
      <c r="C26" s="1"/>
      <c r="D26" s="1"/>
      <c r="G26" s="1"/>
    </row>
    <row r="27" spans="1:8" x14ac:dyDescent="0.35">
      <c r="C27" s="1"/>
      <c r="D27" s="1"/>
      <c r="F27" s="1"/>
      <c r="G27" s="1"/>
    </row>
    <row r="28" spans="1:8" x14ac:dyDescent="0.35">
      <c r="C28" s="1"/>
      <c r="D28" s="1"/>
      <c r="F28" s="1"/>
    </row>
    <row r="29" spans="1:8" x14ac:dyDescent="0.35">
      <c r="C29" s="1"/>
      <c r="D29" s="1"/>
      <c r="F29" s="1"/>
      <c r="G29" s="1"/>
    </row>
    <row r="30" spans="1:8" x14ac:dyDescent="0.35">
      <c r="C30" s="1"/>
      <c r="D30" s="1"/>
      <c r="F30" s="1"/>
      <c r="G3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FCDD-34E0-4B77-A73C-205916B171D2}">
  <dimension ref="A1:H46"/>
  <sheetViews>
    <sheetView workbookViewId="0">
      <selection activeCell="B1" sqref="B1:C1048576"/>
    </sheetView>
  </sheetViews>
  <sheetFormatPr defaultRowHeight="14.5" x14ac:dyDescent="0.35"/>
  <cols>
    <col min="1" max="1" width="15.7265625" customWidth="1"/>
    <col min="2" max="2" width="9.54296875" bestFit="1" customWidth="1"/>
    <col min="3" max="4" width="18.7265625" bestFit="1" customWidth="1"/>
    <col min="5" max="5" width="12.7265625" bestFit="1" customWidth="1"/>
    <col min="6" max="7" width="18.7265625" bestFit="1" customWidth="1"/>
    <col min="8" max="8" width="38" bestFit="1" customWidth="1"/>
  </cols>
  <sheetData>
    <row r="1" spans="1:8" x14ac:dyDescent="0.35">
      <c r="A1">
        <v>1728062219</v>
      </c>
      <c r="B1">
        <f>0</f>
        <v>0</v>
      </c>
      <c r="C1" s="1" t="s">
        <v>142</v>
      </c>
      <c r="D1" s="1" t="s">
        <v>143</v>
      </c>
      <c r="E1">
        <v>-104.893784</v>
      </c>
      <c r="F1">
        <v>2242.3425299999999</v>
      </c>
      <c r="G1" s="1" t="s">
        <v>144</v>
      </c>
      <c r="H1" t="s">
        <v>145</v>
      </c>
    </row>
    <row r="2" spans="1:8" x14ac:dyDescent="0.35">
      <c r="A2">
        <v>1728062221</v>
      </c>
      <c r="B2">
        <f t="shared" ref="B2:B29" si="0">A2-$A$1</f>
        <v>2</v>
      </c>
      <c r="C2">
        <v>177.86048703610001</v>
      </c>
      <c r="D2" s="1" t="s">
        <v>146</v>
      </c>
      <c r="E2">
        <v>-104.89392100000001</v>
      </c>
      <c r="F2">
        <v>2240.1164600000002</v>
      </c>
      <c r="G2" s="1" t="s">
        <v>147</v>
      </c>
      <c r="H2" t="s">
        <v>145</v>
      </c>
    </row>
    <row r="3" spans="1:8" x14ac:dyDescent="0.35">
      <c r="A3">
        <v>1728062222</v>
      </c>
      <c r="B3">
        <f t="shared" si="0"/>
        <v>3</v>
      </c>
      <c r="C3" s="1" t="s">
        <v>148</v>
      </c>
      <c r="D3">
        <v>39.017429399999997</v>
      </c>
      <c r="E3">
        <v>-104.89398199999999</v>
      </c>
      <c r="F3">
        <v>2236.4243200000001</v>
      </c>
      <c r="G3">
        <v>5.6326556224940898</v>
      </c>
      <c r="H3" t="s">
        <v>145</v>
      </c>
    </row>
    <row r="4" spans="1:8" x14ac:dyDescent="0.35">
      <c r="A4">
        <v>1728062223</v>
      </c>
      <c r="B4">
        <f t="shared" si="0"/>
        <v>4</v>
      </c>
      <c r="C4" s="1" t="s">
        <v>149</v>
      </c>
      <c r="D4" s="1" t="s">
        <v>150</v>
      </c>
      <c r="E4">
        <v>-104.894066</v>
      </c>
      <c r="F4">
        <v>2235.24512</v>
      </c>
      <c r="G4" s="1" t="s">
        <v>151</v>
      </c>
      <c r="H4" t="s">
        <v>145</v>
      </c>
    </row>
    <row r="5" spans="1:8" x14ac:dyDescent="0.35">
      <c r="A5">
        <v>1728062224</v>
      </c>
      <c r="B5">
        <f t="shared" si="0"/>
        <v>5</v>
      </c>
      <c r="C5" s="1" t="s">
        <v>152</v>
      </c>
      <c r="D5" s="1" t="s">
        <v>153</v>
      </c>
      <c r="E5">
        <v>-104.894012</v>
      </c>
      <c r="F5">
        <v>2242.5749500000002</v>
      </c>
      <c r="G5" s="1" t="s">
        <v>154</v>
      </c>
      <c r="H5" t="s">
        <v>145</v>
      </c>
    </row>
    <row r="6" spans="1:8" x14ac:dyDescent="0.35">
      <c r="A6">
        <v>1728062225</v>
      </c>
      <c r="B6">
        <f t="shared" si="0"/>
        <v>6</v>
      </c>
      <c r="C6" s="1" t="s">
        <v>155</v>
      </c>
      <c r="D6" s="1" t="s">
        <v>156</v>
      </c>
      <c r="E6">
        <v>-104.893974</v>
      </c>
      <c r="F6">
        <v>2237.52466</v>
      </c>
      <c r="G6" s="1" t="s">
        <v>157</v>
      </c>
      <c r="H6" t="s">
        <v>145</v>
      </c>
    </row>
    <row r="7" spans="1:8" x14ac:dyDescent="0.35">
      <c r="A7">
        <v>1728062226</v>
      </c>
      <c r="B7">
        <f t="shared" si="0"/>
        <v>7</v>
      </c>
      <c r="C7" s="1" t="s">
        <v>158</v>
      </c>
      <c r="D7" s="1" t="s">
        <v>159</v>
      </c>
      <c r="E7">
        <v>-104.893974</v>
      </c>
      <c r="F7">
        <v>2231.0939899999998</v>
      </c>
      <c r="G7" s="1" t="s">
        <v>160</v>
      </c>
      <c r="H7" t="s">
        <v>145</v>
      </c>
    </row>
    <row r="8" spans="1:8" x14ac:dyDescent="0.35">
      <c r="A8">
        <v>1728062227</v>
      </c>
      <c r="B8">
        <f t="shared" si="0"/>
        <v>8</v>
      </c>
      <c r="C8" s="1" t="s">
        <v>161</v>
      </c>
      <c r="D8" s="1" t="s">
        <v>162</v>
      </c>
      <c r="E8">
        <v>-104.893829</v>
      </c>
      <c r="F8">
        <v>2208.04907</v>
      </c>
      <c r="G8" s="1" t="s">
        <v>163</v>
      </c>
      <c r="H8" t="s">
        <v>145</v>
      </c>
    </row>
    <row r="9" spans="1:8" x14ac:dyDescent="0.35">
      <c r="A9">
        <v>1728062227</v>
      </c>
      <c r="B9">
        <f t="shared" si="0"/>
        <v>8</v>
      </c>
      <c r="C9" s="1" t="s">
        <v>164</v>
      </c>
      <c r="D9" s="1" t="s">
        <v>165</v>
      </c>
      <c r="E9">
        <v>-104.89379099999999</v>
      </c>
      <c r="F9">
        <v>2199.8920899999998</v>
      </c>
      <c r="G9" s="1" t="s">
        <v>166</v>
      </c>
      <c r="H9" t="s">
        <v>145</v>
      </c>
    </row>
    <row r="10" spans="1:8" x14ac:dyDescent="0.35">
      <c r="A10">
        <v>1728062228</v>
      </c>
      <c r="B10">
        <f t="shared" si="0"/>
        <v>9</v>
      </c>
      <c r="C10" s="1" t="s">
        <v>167</v>
      </c>
      <c r="D10">
        <v>39.017318699999997</v>
      </c>
      <c r="E10">
        <v>-104.89387499999999</v>
      </c>
      <c r="F10">
        <v>2209.4797400000002</v>
      </c>
      <c r="G10" s="1" t="s">
        <v>168</v>
      </c>
      <c r="H10" t="s">
        <v>145</v>
      </c>
    </row>
    <row r="11" spans="1:8" x14ac:dyDescent="0.35">
      <c r="A11">
        <v>1728062229</v>
      </c>
      <c r="B11">
        <f t="shared" si="0"/>
        <v>10</v>
      </c>
      <c r="C11" s="1" t="s">
        <v>169</v>
      </c>
      <c r="D11" s="1" t="s">
        <v>162</v>
      </c>
      <c r="E11">
        <v>-104.893936</v>
      </c>
      <c r="F11">
        <v>2211.5979000000002</v>
      </c>
      <c r="G11" s="1" t="s">
        <v>170</v>
      </c>
      <c r="H11" t="s">
        <v>145</v>
      </c>
    </row>
    <row r="12" spans="1:8" x14ac:dyDescent="0.35">
      <c r="A12">
        <v>1728062230</v>
      </c>
      <c r="B12">
        <f t="shared" si="0"/>
        <v>11</v>
      </c>
      <c r="C12" s="1" t="s">
        <v>171</v>
      </c>
      <c r="D12" s="1" t="s">
        <v>172</v>
      </c>
      <c r="E12">
        <v>-104.893913</v>
      </c>
      <c r="F12">
        <v>2208.7014199999999</v>
      </c>
      <c r="G12" s="1" t="s">
        <v>173</v>
      </c>
      <c r="H12" t="s">
        <v>145</v>
      </c>
    </row>
    <row r="13" spans="1:8" x14ac:dyDescent="0.35">
      <c r="A13">
        <v>1728062232</v>
      </c>
      <c r="B13">
        <f t="shared" si="0"/>
        <v>13</v>
      </c>
      <c r="C13" s="1" t="s">
        <v>174</v>
      </c>
      <c r="D13" s="1" t="s">
        <v>175</v>
      </c>
      <c r="E13">
        <v>-104.89392100000001</v>
      </c>
      <c r="F13">
        <v>2207.64282</v>
      </c>
      <c r="G13" s="1" t="s">
        <v>176</v>
      </c>
      <c r="H13" t="s">
        <v>145</v>
      </c>
    </row>
    <row r="14" spans="1:8" x14ac:dyDescent="0.35">
      <c r="A14">
        <v>1728062233</v>
      </c>
      <c r="B14">
        <f t="shared" si="0"/>
        <v>14</v>
      </c>
      <c r="C14">
        <v>196.52040366694899</v>
      </c>
      <c r="D14" s="1" t="s">
        <v>177</v>
      </c>
      <c r="E14">
        <v>-104.893867</v>
      </c>
      <c r="F14">
        <v>2194.8915999999999</v>
      </c>
      <c r="G14" s="1" t="s">
        <v>178</v>
      </c>
      <c r="H14" t="s">
        <v>145</v>
      </c>
    </row>
    <row r="15" spans="1:8" x14ac:dyDescent="0.35">
      <c r="A15">
        <v>1728062234</v>
      </c>
      <c r="B15">
        <f t="shared" si="0"/>
        <v>15</v>
      </c>
      <c r="C15">
        <v>196.073824729161</v>
      </c>
      <c r="D15">
        <v>39.017284400000001</v>
      </c>
      <c r="E15">
        <v>-104.893936</v>
      </c>
      <c r="F15">
        <v>2193.90479</v>
      </c>
      <c r="G15" s="1" t="s">
        <v>179</v>
      </c>
      <c r="H15" t="s">
        <v>145</v>
      </c>
    </row>
    <row r="16" spans="1:8" x14ac:dyDescent="0.35">
      <c r="A16">
        <v>1728062235</v>
      </c>
      <c r="B16">
        <f t="shared" si="0"/>
        <v>16</v>
      </c>
      <c r="C16" s="1" t="s">
        <v>180</v>
      </c>
      <c r="D16" s="1" t="s">
        <v>181</v>
      </c>
      <c r="E16">
        <v>-104.893944</v>
      </c>
      <c r="F16">
        <v>2193.5459000000001</v>
      </c>
      <c r="G16" s="1" t="s">
        <v>182</v>
      </c>
      <c r="H16" t="s">
        <v>145</v>
      </c>
    </row>
    <row r="17" spans="1:8" x14ac:dyDescent="0.35">
      <c r="A17">
        <v>1728062236</v>
      </c>
      <c r="B17">
        <f t="shared" si="0"/>
        <v>17</v>
      </c>
      <c r="C17" s="1" t="s">
        <v>183</v>
      </c>
      <c r="D17" s="1" t="s">
        <v>184</v>
      </c>
      <c r="E17">
        <v>-104.893967</v>
      </c>
      <c r="F17">
        <v>2191.16968</v>
      </c>
      <c r="G17" s="1" t="s">
        <v>185</v>
      </c>
      <c r="H17" t="s">
        <v>145</v>
      </c>
    </row>
    <row r="18" spans="1:8" x14ac:dyDescent="0.35">
      <c r="A18">
        <v>1728062237</v>
      </c>
      <c r="B18">
        <f t="shared" si="0"/>
        <v>18</v>
      </c>
      <c r="C18" s="1" t="s">
        <v>186</v>
      </c>
      <c r="D18" s="1" t="s">
        <v>187</v>
      </c>
      <c r="E18">
        <v>-104.893951</v>
      </c>
      <c r="F18">
        <v>2205.8754899999999</v>
      </c>
      <c r="G18" s="1" t="s">
        <v>188</v>
      </c>
      <c r="H18" t="s">
        <v>145</v>
      </c>
    </row>
    <row r="19" spans="1:8" x14ac:dyDescent="0.35">
      <c r="A19">
        <v>1728062238</v>
      </c>
      <c r="B19">
        <f t="shared" si="0"/>
        <v>19</v>
      </c>
      <c r="C19" s="1" t="s">
        <v>189</v>
      </c>
      <c r="D19" s="1" t="s">
        <v>190</v>
      </c>
      <c r="E19">
        <v>-104.893959</v>
      </c>
      <c r="F19">
        <v>2210.2705099999998</v>
      </c>
      <c r="G19" s="1" t="s">
        <v>191</v>
      </c>
      <c r="H19" t="s">
        <v>145</v>
      </c>
    </row>
    <row r="20" spans="1:8" x14ac:dyDescent="0.35">
      <c r="A20">
        <v>1728062238</v>
      </c>
      <c r="B20">
        <f t="shared" si="0"/>
        <v>19</v>
      </c>
      <c r="C20" s="1" t="s">
        <v>192</v>
      </c>
      <c r="D20">
        <v>39.017383600000002</v>
      </c>
      <c r="E20">
        <v>-104.893959</v>
      </c>
      <c r="F20">
        <v>2212.3122600000002</v>
      </c>
      <c r="G20" s="1" t="s">
        <v>193</v>
      </c>
      <c r="H20" t="s">
        <v>145</v>
      </c>
    </row>
    <row r="21" spans="1:8" x14ac:dyDescent="0.35">
      <c r="A21">
        <v>1728062239</v>
      </c>
      <c r="B21">
        <f t="shared" si="0"/>
        <v>20</v>
      </c>
      <c r="C21" s="1" t="s">
        <v>194</v>
      </c>
      <c r="D21" s="1" t="s">
        <v>150</v>
      </c>
      <c r="E21">
        <v>-104.893959</v>
      </c>
      <c r="F21">
        <v>2215.0351599999999</v>
      </c>
      <c r="G21" s="1" t="s">
        <v>195</v>
      </c>
      <c r="H21" t="s">
        <v>145</v>
      </c>
    </row>
    <row r="22" spans="1:8" x14ac:dyDescent="0.35">
      <c r="A22">
        <v>1728062240</v>
      </c>
      <c r="B22">
        <f t="shared" si="0"/>
        <v>21</v>
      </c>
      <c r="C22" s="1" t="s">
        <v>196</v>
      </c>
      <c r="D22" s="1" t="s">
        <v>197</v>
      </c>
      <c r="E22">
        <v>-104.893845</v>
      </c>
      <c r="F22">
        <v>2241.2106899999999</v>
      </c>
      <c r="G22" s="1" t="s">
        <v>198</v>
      </c>
      <c r="H22" t="s">
        <v>145</v>
      </c>
    </row>
    <row r="23" spans="1:8" x14ac:dyDescent="0.35">
      <c r="A23">
        <v>1728062241</v>
      </c>
      <c r="B23">
        <f t="shared" si="0"/>
        <v>22</v>
      </c>
      <c r="C23" s="1" t="s">
        <v>199</v>
      </c>
      <c r="D23" s="1" t="s">
        <v>200</v>
      </c>
      <c r="E23">
        <v>-104.89372299999999</v>
      </c>
      <c r="F23">
        <v>2226.5964399999998</v>
      </c>
      <c r="G23" s="1" t="s">
        <v>201</v>
      </c>
      <c r="H23" t="s">
        <v>145</v>
      </c>
    </row>
    <row r="24" spans="1:8" x14ac:dyDescent="0.35">
      <c r="A24">
        <v>1728062243</v>
      </c>
      <c r="B24">
        <f t="shared" si="0"/>
        <v>24</v>
      </c>
      <c r="C24" s="1" t="s">
        <v>202</v>
      </c>
      <c r="D24" s="1" t="s">
        <v>203</v>
      </c>
      <c r="E24">
        <v>-104.89366099999999</v>
      </c>
      <c r="F24">
        <v>2227.49683</v>
      </c>
      <c r="G24" s="1" t="s">
        <v>204</v>
      </c>
      <c r="H24" t="s">
        <v>145</v>
      </c>
    </row>
    <row r="25" spans="1:8" x14ac:dyDescent="0.35">
      <c r="A25">
        <v>1728062244</v>
      </c>
      <c r="B25">
        <f t="shared" si="0"/>
        <v>25</v>
      </c>
      <c r="C25" s="1" t="s">
        <v>205</v>
      </c>
      <c r="D25" s="1" t="s">
        <v>206</v>
      </c>
      <c r="E25">
        <v>-104.893608</v>
      </c>
      <c r="F25">
        <v>2228.3964799999999</v>
      </c>
      <c r="G25" s="1" t="s">
        <v>207</v>
      </c>
      <c r="H25" t="s">
        <v>145</v>
      </c>
    </row>
    <row r="26" spans="1:8" x14ac:dyDescent="0.35">
      <c r="A26">
        <v>1728062245</v>
      </c>
      <c r="B26">
        <f t="shared" si="0"/>
        <v>26</v>
      </c>
      <c r="C26" s="1" t="s">
        <v>208</v>
      </c>
      <c r="D26">
        <v>39.0174217</v>
      </c>
      <c r="E26">
        <v>-104.893547</v>
      </c>
      <c r="F26">
        <v>2229.29639</v>
      </c>
      <c r="G26" s="1" t="s">
        <v>209</v>
      </c>
      <c r="H26" t="s">
        <v>145</v>
      </c>
    </row>
    <row r="27" spans="1:8" x14ac:dyDescent="0.35">
      <c r="A27">
        <v>1728062246</v>
      </c>
      <c r="B27">
        <f t="shared" si="0"/>
        <v>27</v>
      </c>
      <c r="C27" s="1" t="s">
        <v>210</v>
      </c>
      <c r="D27">
        <v>39.017429399999997</v>
      </c>
      <c r="E27">
        <v>-104.893486</v>
      </c>
      <c r="F27">
        <v>2230.1960399999998</v>
      </c>
      <c r="G27" s="1" t="s">
        <v>211</v>
      </c>
      <c r="H27" t="s">
        <v>145</v>
      </c>
    </row>
    <row r="28" spans="1:8" x14ac:dyDescent="0.35">
      <c r="A28">
        <v>1728062247</v>
      </c>
      <c r="B28">
        <f t="shared" si="0"/>
        <v>28</v>
      </c>
      <c r="C28" s="1" t="s">
        <v>212</v>
      </c>
      <c r="D28" s="1" t="s">
        <v>213</v>
      </c>
      <c r="E28">
        <v>-104.893433</v>
      </c>
      <c r="F28">
        <v>2231.0956999999999</v>
      </c>
      <c r="G28" s="1" t="s">
        <v>214</v>
      </c>
      <c r="H28" t="s">
        <v>145</v>
      </c>
    </row>
    <row r="29" spans="1:8" x14ac:dyDescent="0.35">
      <c r="A29">
        <v>1728062248</v>
      </c>
      <c r="B29">
        <f t="shared" si="0"/>
        <v>29</v>
      </c>
      <c r="C29" s="1" t="s">
        <v>215</v>
      </c>
      <c r="D29" s="1" t="s">
        <v>159</v>
      </c>
      <c r="E29">
        <v>-104.893372</v>
      </c>
      <c r="F29">
        <v>2231.9953599999999</v>
      </c>
      <c r="G29" s="1" t="s">
        <v>216</v>
      </c>
      <c r="H29" t="s">
        <v>145</v>
      </c>
    </row>
    <row r="30" spans="1:8" x14ac:dyDescent="0.35">
      <c r="A30">
        <v>1728062248</v>
      </c>
      <c r="B30">
        <f t="shared" ref="B30:B46" si="1">A30-$A$1+1</f>
        <v>30</v>
      </c>
      <c r="C30" s="1" t="s">
        <v>217</v>
      </c>
      <c r="D30" s="1" t="s">
        <v>218</v>
      </c>
      <c r="E30">
        <v>-104.893333</v>
      </c>
      <c r="F30">
        <v>2232.6701699999999</v>
      </c>
      <c r="G30">
        <v>4.5171776861941799</v>
      </c>
      <c r="H30" t="s">
        <v>145</v>
      </c>
    </row>
    <row r="31" spans="1:8" x14ac:dyDescent="0.35">
      <c r="A31">
        <v>1728062249</v>
      </c>
      <c r="B31">
        <f t="shared" si="1"/>
        <v>31</v>
      </c>
      <c r="C31" s="1" t="s">
        <v>219</v>
      </c>
      <c r="D31" s="1" t="s">
        <v>220</v>
      </c>
      <c r="E31">
        <v>-104.893272</v>
      </c>
      <c r="F31">
        <v>2233.5698200000002</v>
      </c>
      <c r="G31" s="1" t="s">
        <v>221</v>
      </c>
      <c r="H31" t="s">
        <v>145</v>
      </c>
    </row>
    <row r="32" spans="1:8" x14ac:dyDescent="0.35">
      <c r="A32">
        <v>1728062250</v>
      </c>
      <c r="B32">
        <f t="shared" si="1"/>
        <v>32</v>
      </c>
      <c r="C32" s="1" t="s">
        <v>222</v>
      </c>
      <c r="D32">
        <v>39.017471299999997</v>
      </c>
      <c r="E32">
        <v>-104.893219</v>
      </c>
      <c r="F32">
        <v>2234.4694800000002</v>
      </c>
      <c r="G32" s="1" t="s">
        <v>223</v>
      </c>
      <c r="H32" t="s">
        <v>145</v>
      </c>
    </row>
    <row r="33" spans="1:8" x14ac:dyDescent="0.35">
      <c r="A33">
        <v>1728062251</v>
      </c>
      <c r="B33">
        <f t="shared" si="1"/>
        <v>33</v>
      </c>
      <c r="C33" s="1" t="s">
        <v>224</v>
      </c>
      <c r="D33" s="1" t="s">
        <v>225</v>
      </c>
      <c r="E33">
        <v>-104.893158</v>
      </c>
      <c r="F33">
        <v>2235.3691399999998</v>
      </c>
      <c r="G33" s="1" t="s">
        <v>226</v>
      </c>
      <c r="H33" t="s">
        <v>145</v>
      </c>
    </row>
    <row r="34" spans="1:8" x14ac:dyDescent="0.35">
      <c r="A34">
        <v>1728062253</v>
      </c>
      <c r="B34">
        <f t="shared" si="1"/>
        <v>35</v>
      </c>
      <c r="C34" s="1" t="s">
        <v>227</v>
      </c>
      <c r="D34" s="1" t="s">
        <v>228</v>
      </c>
      <c r="E34">
        <v>-104.893097</v>
      </c>
      <c r="F34">
        <v>2236.2690400000001</v>
      </c>
      <c r="G34" s="1" t="s">
        <v>229</v>
      </c>
      <c r="H34" t="s">
        <v>145</v>
      </c>
    </row>
    <row r="35" spans="1:8" x14ac:dyDescent="0.35">
      <c r="A35">
        <v>1728062254</v>
      </c>
      <c r="B35">
        <f t="shared" si="1"/>
        <v>36</v>
      </c>
      <c r="C35" s="1" t="s">
        <v>230</v>
      </c>
      <c r="D35">
        <v>39.017494200000002</v>
      </c>
      <c r="E35">
        <v>-104.893044</v>
      </c>
      <c r="F35">
        <v>2237.1687000000002</v>
      </c>
      <c r="G35" s="1" t="s">
        <v>231</v>
      </c>
      <c r="H35" t="s">
        <v>145</v>
      </c>
    </row>
    <row r="36" spans="1:8" x14ac:dyDescent="0.35">
      <c r="A36">
        <v>1728062255</v>
      </c>
      <c r="B36">
        <f t="shared" si="1"/>
        <v>37</v>
      </c>
      <c r="C36" s="1" t="s">
        <v>232</v>
      </c>
      <c r="D36" s="1" t="s">
        <v>233</v>
      </c>
      <c r="E36">
        <v>-104.892982</v>
      </c>
      <c r="F36">
        <v>2238.0683600000002</v>
      </c>
      <c r="G36" s="1" t="s">
        <v>234</v>
      </c>
      <c r="H36" t="s">
        <v>145</v>
      </c>
    </row>
    <row r="37" spans="1:8" x14ac:dyDescent="0.35">
      <c r="A37">
        <v>1728062256</v>
      </c>
      <c r="B37">
        <f t="shared" si="1"/>
        <v>38</v>
      </c>
      <c r="C37" s="1" t="s">
        <v>235</v>
      </c>
      <c r="D37">
        <v>39.017513299999997</v>
      </c>
      <c r="E37">
        <v>-104.892929</v>
      </c>
      <c r="F37">
        <v>2238.9680199999998</v>
      </c>
      <c r="G37">
        <v>4.5445992936494601</v>
      </c>
      <c r="H37" t="s">
        <v>145</v>
      </c>
    </row>
    <row r="38" spans="1:8" x14ac:dyDescent="0.35">
      <c r="A38">
        <v>1728062257</v>
      </c>
      <c r="B38">
        <f t="shared" si="1"/>
        <v>39</v>
      </c>
      <c r="C38" s="1" t="s">
        <v>236</v>
      </c>
      <c r="D38" s="1" t="s">
        <v>237</v>
      </c>
      <c r="E38">
        <v>-104.89286800000001</v>
      </c>
      <c r="F38">
        <v>2239.8676799999998</v>
      </c>
      <c r="G38" s="1" t="s">
        <v>238</v>
      </c>
      <c r="H38" t="s">
        <v>145</v>
      </c>
    </row>
    <row r="39" spans="1:8" x14ac:dyDescent="0.35">
      <c r="A39">
        <v>1728062257</v>
      </c>
      <c r="B39">
        <f t="shared" si="1"/>
        <v>39</v>
      </c>
      <c r="C39" s="1" t="s">
        <v>239</v>
      </c>
      <c r="D39">
        <v>39.017528499999997</v>
      </c>
      <c r="E39">
        <v>-104.89283</v>
      </c>
      <c r="F39">
        <v>2240.5424800000001</v>
      </c>
      <c r="G39" s="1" t="s">
        <v>240</v>
      </c>
      <c r="H39" t="s">
        <v>145</v>
      </c>
    </row>
    <row r="40" spans="1:8" x14ac:dyDescent="0.35">
      <c r="A40">
        <v>1728062258</v>
      </c>
      <c r="B40">
        <f t="shared" si="1"/>
        <v>40</v>
      </c>
      <c r="C40" s="1" t="s">
        <v>241</v>
      </c>
      <c r="D40">
        <v>39.017536200000002</v>
      </c>
      <c r="E40">
        <v>-104.892769</v>
      </c>
      <c r="F40">
        <v>2241.4421400000001</v>
      </c>
      <c r="G40" s="1" t="s">
        <v>242</v>
      </c>
      <c r="H40" t="s">
        <v>145</v>
      </c>
    </row>
    <row r="41" spans="1:8" x14ac:dyDescent="0.35">
      <c r="A41">
        <v>1728062259</v>
      </c>
      <c r="B41">
        <f t="shared" si="1"/>
        <v>41</v>
      </c>
      <c r="C41">
        <v>181.64004484303999</v>
      </c>
      <c r="D41">
        <v>39.017543799999999</v>
      </c>
      <c r="E41">
        <v>-104.892708</v>
      </c>
      <c r="F41">
        <v>2242.3418000000001</v>
      </c>
      <c r="G41" s="1" t="s">
        <v>243</v>
      </c>
      <c r="H41" t="s">
        <v>145</v>
      </c>
    </row>
    <row r="42" spans="1:8" x14ac:dyDescent="0.35">
      <c r="A42">
        <v>1728062260</v>
      </c>
      <c r="B42">
        <f t="shared" si="1"/>
        <v>42</v>
      </c>
      <c r="C42" s="1" t="s">
        <v>244</v>
      </c>
      <c r="D42">
        <v>39.0175476</v>
      </c>
      <c r="E42">
        <v>-104.892685</v>
      </c>
      <c r="F42">
        <v>2242.7917499999999</v>
      </c>
      <c r="G42" s="1" t="s">
        <v>245</v>
      </c>
      <c r="H42" t="s">
        <v>145</v>
      </c>
    </row>
    <row r="43" spans="1:8" x14ac:dyDescent="0.35">
      <c r="A43">
        <v>1728062261</v>
      </c>
      <c r="B43">
        <f t="shared" si="1"/>
        <v>43</v>
      </c>
      <c r="C43" s="1" t="s">
        <v>246</v>
      </c>
      <c r="D43" s="1" t="s">
        <v>247</v>
      </c>
      <c r="E43">
        <v>-104.89262740229201</v>
      </c>
      <c r="F43" s="1" t="s">
        <v>248</v>
      </c>
      <c r="G43" s="1" t="s">
        <v>249</v>
      </c>
      <c r="H43" t="s">
        <v>145</v>
      </c>
    </row>
    <row r="44" spans="1:8" x14ac:dyDescent="0.35">
      <c r="A44">
        <v>1728062262</v>
      </c>
      <c r="B44">
        <f t="shared" si="1"/>
        <v>44</v>
      </c>
      <c r="C44" s="1" t="s">
        <v>250</v>
      </c>
      <c r="D44" s="1" t="s">
        <v>251</v>
      </c>
      <c r="E44">
        <v>-104.892569804571</v>
      </c>
      <c r="F44" s="1" t="s">
        <v>252</v>
      </c>
      <c r="G44" s="1" t="s">
        <v>253</v>
      </c>
      <c r="H44" t="s">
        <v>145</v>
      </c>
    </row>
    <row r="45" spans="1:8" x14ac:dyDescent="0.35">
      <c r="A45">
        <v>1728062263</v>
      </c>
      <c r="B45">
        <f t="shared" si="1"/>
        <v>45</v>
      </c>
      <c r="C45" s="1" t="s">
        <v>254</v>
      </c>
      <c r="D45" s="1" t="s">
        <v>255</v>
      </c>
      <c r="E45">
        <v>-104.892512206836</v>
      </c>
      <c r="F45" s="1" t="s">
        <v>256</v>
      </c>
      <c r="G45" s="1" t="s">
        <v>257</v>
      </c>
      <c r="H45" t="s">
        <v>145</v>
      </c>
    </row>
    <row r="46" spans="1:8" x14ac:dyDescent="0.35">
      <c r="A46">
        <v>1728062264</v>
      </c>
      <c r="B46">
        <f t="shared" si="1"/>
        <v>46</v>
      </c>
      <c r="C46" s="1" t="s">
        <v>258</v>
      </c>
      <c r="D46" s="1" t="s">
        <v>259</v>
      </c>
      <c r="E46">
        <v>-104.892454609086</v>
      </c>
      <c r="F46" s="1" t="s">
        <v>260</v>
      </c>
      <c r="G46">
        <v>5.0623096047897302</v>
      </c>
      <c r="H46" t="s">
        <v>145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FD10-3A41-4090-A813-9EC24F1BF4D1}">
  <dimension ref="A1:H30"/>
  <sheetViews>
    <sheetView tabSelected="1" workbookViewId="0">
      <selection activeCell="O11" sqref="O11"/>
    </sheetView>
  </sheetViews>
  <sheetFormatPr defaultRowHeight="14.5" x14ac:dyDescent="0.35"/>
  <cols>
    <col min="1" max="1" width="15.7265625" customWidth="1"/>
    <col min="2" max="2" width="9.54296875" bestFit="1" customWidth="1"/>
    <col min="3" max="4" width="18.7265625" bestFit="1" customWidth="1"/>
    <col min="5" max="5" width="12.7265625" bestFit="1" customWidth="1"/>
    <col min="6" max="7" width="18.7265625" bestFit="1" customWidth="1"/>
    <col min="8" max="8" width="38" bestFit="1" customWidth="1"/>
    <col min="11" max="11" width="17.453125" customWidth="1"/>
    <col min="12" max="12" width="17.36328125" customWidth="1"/>
  </cols>
  <sheetData>
    <row r="1" spans="1:8" x14ac:dyDescent="0.35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323</v>
      </c>
      <c r="G1" t="s">
        <v>321</v>
      </c>
      <c r="H1" t="s">
        <v>322</v>
      </c>
    </row>
    <row r="2" spans="1:8" x14ac:dyDescent="0.35">
      <c r="A2">
        <v>1728062448</v>
      </c>
      <c r="B2">
        <f>0</f>
        <v>0</v>
      </c>
      <c r="C2" s="1" t="s">
        <v>261</v>
      </c>
      <c r="D2" s="1" t="s">
        <v>262</v>
      </c>
      <c r="E2">
        <v>-104.894211</v>
      </c>
      <c r="F2">
        <v>2166.7426799999998</v>
      </c>
      <c r="G2" s="1" t="s">
        <v>263</v>
      </c>
      <c r="H2" t="s">
        <v>264</v>
      </c>
    </row>
    <row r="3" spans="1:8" x14ac:dyDescent="0.35">
      <c r="A3">
        <v>1728062449</v>
      </c>
      <c r="B3">
        <f>A3-$A$2</f>
        <v>1</v>
      </c>
      <c r="C3" s="1" t="s">
        <v>265</v>
      </c>
      <c r="D3" s="1" t="s">
        <v>266</v>
      </c>
      <c r="E3">
        <v>-104.894211</v>
      </c>
      <c r="F3">
        <v>2172.2470699999999</v>
      </c>
      <c r="G3" s="1" t="s">
        <v>267</v>
      </c>
      <c r="H3" t="s">
        <v>264</v>
      </c>
    </row>
    <row r="4" spans="1:8" x14ac:dyDescent="0.35">
      <c r="A4">
        <v>1728062450</v>
      </c>
      <c r="B4">
        <f>A4-$A$2</f>
        <v>2</v>
      </c>
      <c r="C4" s="1" t="s">
        <v>268</v>
      </c>
      <c r="D4" s="1" t="s">
        <v>269</v>
      </c>
      <c r="E4">
        <v>-104.89415</v>
      </c>
      <c r="F4">
        <v>2173.2248500000001</v>
      </c>
      <c r="G4" s="1" t="s">
        <v>270</v>
      </c>
      <c r="H4" t="s">
        <v>264</v>
      </c>
    </row>
    <row r="5" spans="1:8" x14ac:dyDescent="0.35">
      <c r="A5">
        <v>1728062451</v>
      </c>
      <c r="B5">
        <f>A5-$A$2</f>
        <v>3</v>
      </c>
      <c r="C5" s="1" t="s">
        <v>271</v>
      </c>
      <c r="D5" s="1" t="s">
        <v>272</v>
      </c>
      <c r="E5">
        <v>-104.894104</v>
      </c>
      <c r="F5">
        <v>2175.08374</v>
      </c>
      <c r="G5">
        <v>4.4696065490008303</v>
      </c>
      <c r="H5" t="s">
        <v>264</v>
      </c>
    </row>
    <row r="6" spans="1:8" x14ac:dyDescent="0.35">
      <c r="A6">
        <v>1728062452</v>
      </c>
      <c r="B6">
        <f>A6-$A$2</f>
        <v>4</v>
      </c>
      <c r="C6" s="1" t="s">
        <v>273</v>
      </c>
      <c r="D6" s="1" t="s">
        <v>220</v>
      </c>
      <c r="E6">
        <v>-104.894012</v>
      </c>
      <c r="F6">
        <v>2177.0041500000002</v>
      </c>
      <c r="G6" s="1" t="s">
        <v>274</v>
      </c>
      <c r="H6" t="s">
        <v>264</v>
      </c>
    </row>
    <row r="7" spans="1:8" x14ac:dyDescent="0.35">
      <c r="A7">
        <v>1728062453</v>
      </c>
      <c r="B7">
        <f>A7-$A$2</f>
        <v>5</v>
      </c>
      <c r="C7" s="1" t="s">
        <v>275</v>
      </c>
      <c r="D7" s="1" t="s">
        <v>276</v>
      </c>
      <c r="E7">
        <v>-104.89398199999999</v>
      </c>
      <c r="F7">
        <v>2178.2175299999999</v>
      </c>
      <c r="G7" s="1" t="s">
        <v>277</v>
      </c>
      <c r="H7" t="s">
        <v>264</v>
      </c>
    </row>
    <row r="8" spans="1:8" x14ac:dyDescent="0.35">
      <c r="A8">
        <v>1728062454</v>
      </c>
      <c r="B8">
        <f>A8-$A$2</f>
        <v>6</v>
      </c>
      <c r="C8" s="1" t="s">
        <v>278</v>
      </c>
      <c r="D8">
        <v>39.0175476</v>
      </c>
      <c r="E8">
        <v>-104.89392100000001</v>
      </c>
      <c r="F8">
        <v>2177.6652800000002</v>
      </c>
      <c r="G8" s="1" t="s">
        <v>279</v>
      </c>
      <c r="H8" t="s">
        <v>264</v>
      </c>
    </row>
    <row r="9" spans="1:8" x14ac:dyDescent="0.35">
      <c r="A9">
        <v>1728062455</v>
      </c>
      <c r="B9">
        <f>A9-$A$2</f>
        <v>7</v>
      </c>
      <c r="C9" s="1" t="s">
        <v>280</v>
      </c>
      <c r="D9" s="1" t="s">
        <v>281</v>
      </c>
      <c r="E9">
        <v>-104.89386</v>
      </c>
      <c r="F9">
        <v>2178.7968799999999</v>
      </c>
      <c r="G9" s="1" t="s">
        <v>282</v>
      </c>
      <c r="H9" t="s">
        <v>264</v>
      </c>
    </row>
    <row r="10" spans="1:8" x14ac:dyDescent="0.35">
      <c r="A10">
        <v>1728062455</v>
      </c>
      <c r="B10">
        <f>A10-$A$2</f>
        <v>7</v>
      </c>
      <c r="C10" s="1" t="s">
        <v>283</v>
      </c>
      <c r="D10">
        <v>39.017600000000002</v>
      </c>
      <c r="E10">
        <v>-104.893822</v>
      </c>
      <c r="F10">
        <v>2179.6455099999998</v>
      </c>
      <c r="G10" s="1" t="s">
        <v>284</v>
      </c>
      <c r="H10" t="s">
        <v>264</v>
      </c>
    </row>
    <row r="11" spans="1:8" x14ac:dyDescent="0.35">
      <c r="A11">
        <v>1728062456</v>
      </c>
      <c r="B11">
        <f>A11-$A$2</f>
        <v>8</v>
      </c>
      <c r="C11" s="1" t="s">
        <v>285</v>
      </c>
      <c r="D11" s="1" t="s">
        <v>286</v>
      </c>
      <c r="E11">
        <v>-104.89376799999999</v>
      </c>
      <c r="F11">
        <v>2180.7768599999999</v>
      </c>
      <c r="G11" s="1" t="s">
        <v>287</v>
      </c>
      <c r="H11" t="s">
        <v>264</v>
      </c>
    </row>
    <row r="12" spans="1:8" x14ac:dyDescent="0.35">
      <c r="A12">
        <v>1728062458</v>
      </c>
      <c r="B12">
        <f>A12-$A$2</f>
        <v>10</v>
      </c>
      <c r="C12" s="1" t="s">
        <v>288</v>
      </c>
      <c r="D12" s="1" t="s">
        <v>289</v>
      </c>
      <c r="E12">
        <v>-104.89370700000001</v>
      </c>
      <c r="F12">
        <v>2181.9081999999999</v>
      </c>
      <c r="G12" s="1" t="s">
        <v>290</v>
      </c>
      <c r="H12" t="s">
        <v>264</v>
      </c>
    </row>
    <row r="13" spans="1:8" x14ac:dyDescent="0.35">
      <c r="A13">
        <v>1728062459</v>
      </c>
      <c r="B13">
        <f>A13-$A$2</f>
        <v>11</v>
      </c>
      <c r="C13" s="1" t="s">
        <v>291</v>
      </c>
      <c r="D13" s="1" t="s">
        <v>292</v>
      </c>
      <c r="E13">
        <v>-104.893654</v>
      </c>
      <c r="F13">
        <v>2183.0397899999998</v>
      </c>
      <c r="G13" s="1" t="s">
        <v>293</v>
      </c>
      <c r="H13" t="s">
        <v>264</v>
      </c>
    </row>
    <row r="14" spans="1:8" x14ac:dyDescent="0.35">
      <c r="A14">
        <v>1728062460</v>
      </c>
      <c r="B14">
        <f>A14-$A$2</f>
        <v>12</v>
      </c>
      <c r="C14" s="1" t="s">
        <v>294</v>
      </c>
      <c r="D14" s="1" t="s">
        <v>295</v>
      </c>
      <c r="E14">
        <v>-104.893593</v>
      </c>
      <c r="F14">
        <v>2184.1711399999999</v>
      </c>
      <c r="G14" s="1" t="s">
        <v>296</v>
      </c>
      <c r="H14" t="s">
        <v>264</v>
      </c>
    </row>
    <row r="15" spans="1:8" x14ac:dyDescent="0.35">
      <c r="A15">
        <v>1728062460</v>
      </c>
      <c r="B15">
        <f>A15-$A$2</f>
        <v>12</v>
      </c>
      <c r="C15" s="1" t="s">
        <v>297</v>
      </c>
      <c r="D15" s="1" t="s">
        <v>298</v>
      </c>
      <c r="E15">
        <v>-104.89357800000001</v>
      </c>
      <c r="F15">
        <v>2184.4540999999999</v>
      </c>
      <c r="G15" s="1" t="s">
        <v>299</v>
      </c>
      <c r="H15" t="s">
        <v>264</v>
      </c>
    </row>
    <row r="16" spans="1:8" x14ac:dyDescent="0.35">
      <c r="A16">
        <v>1728062461</v>
      </c>
      <c r="B16">
        <f>A16-$A$2</f>
        <v>13</v>
      </c>
      <c r="C16" s="1" t="s">
        <v>300</v>
      </c>
      <c r="D16" s="1" t="s">
        <v>301</v>
      </c>
      <c r="E16">
        <v>-104.89352157380399</v>
      </c>
      <c r="F16" s="1" t="s">
        <v>302</v>
      </c>
      <c r="G16" s="1" t="s">
        <v>303</v>
      </c>
      <c r="H16" t="s">
        <v>264</v>
      </c>
    </row>
    <row r="17" spans="1:8" x14ac:dyDescent="0.35">
      <c r="A17">
        <v>1728062462</v>
      </c>
      <c r="B17">
        <f>A17-$A$2</f>
        <v>14</v>
      </c>
      <c r="C17" s="1" t="s">
        <v>304</v>
      </c>
      <c r="D17" s="1" t="s">
        <v>305</v>
      </c>
      <c r="E17">
        <v>-104.89346514755999</v>
      </c>
      <c r="F17" s="1" t="s">
        <v>306</v>
      </c>
      <c r="G17" s="1" t="s">
        <v>307</v>
      </c>
      <c r="H17" t="s">
        <v>264</v>
      </c>
    </row>
    <row r="18" spans="1:8" x14ac:dyDescent="0.35">
      <c r="A18">
        <v>1728062463</v>
      </c>
      <c r="B18">
        <f>A18-$A$2</f>
        <v>15</v>
      </c>
      <c r="C18" s="1" t="s">
        <v>308</v>
      </c>
      <c r="D18" s="1" t="s">
        <v>309</v>
      </c>
      <c r="E18">
        <v>-104.89340872126699</v>
      </c>
      <c r="F18" s="1" t="s">
        <v>310</v>
      </c>
      <c r="G18" s="1" t="s">
        <v>311</v>
      </c>
      <c r="H18" t="s">
        <v>264</v>
      </c>
    </row>
    <row r="19" spans="1:8" x14ac:dyDescent="0.35">
      <c r="A19">
        <v>1728062464</v>
      </c>
      <c r="B19">
        <f>A19-$A$2</f>
        <v>16</v>
      </c>
      <c r="C19" s="1" t="s">
        <v>312</v>
      </c>
      <c r="D19" s="1" t="s">
        <v>313</v>
      </c>
      <c r="E19">
        <v>-104.893352294924</v>
      </c>
      <c r="F19" s="1" t="s">
        <v>314</v>
      </c>
      <c r="G19" s="1" t="s">
        <v>315</v>
      </c>
      <c r="H19" t="s">
        <v>264</v>
      </c>
    </row>
    <row r="20" spans="1:8" x14ac:dyDescent="0.35">
      <c r="C20" s="1"/>
      <c r="F20" s="1"/>
      <c r="G20" s="1"/>
    </row>
    <row r="21" spans="1:8" x14ac:dyDescent="0.35">
      <c r="C21" s="1"/>
      <c r="D21" s="1"/>
    </row>
    <row r="22" spans="1:8" x14ac:dyDescent="0.35">
      <c r="C22" s="1"/>
      <c r="D22" s="1"/>
    </row>
    <row r="23" spans="1:8" x14ac:dyDescent="0.35">
      <c r="C23" s="1"/>
      <c r="D23" s="1"/>
      <c r="G23" s="1"/>
    </row>
    <row r="24" spans="1:8" x14ac:dyDescent="0.35">
      <c r="C24" s="1"/>
      <c r="D24" s="1"/>
      <c r="G24" s="1"/>
    </row>
    <row r="25" spans="1:8" x14ac:dyDescent="0.35">
      <c r="C25" s="1"/>
      <c r="D25" s="1"/>
      <c r="G25" s="1"/>
    </row>
    <row r="26" spans="1:8" x14ac:dyDescent="0.35">
      <c r="C26" s="1"/>
      <c r="D26" s="1"/>
      <c r="G26" s="1"/>
    </row>
    <row r="27" spans="1:8" x14ac:dyDescent="0.35">
      <c r="C27" s="1"/>
      <c r="D27" s="1"/>
      <c r="F27" s="1"/>
      <c r="G27" s="1"/>
    </row>
    <row r="28" spans="1:8" x14ac:dyDescent="0.35">
      <c r="C28" s="1"/>
      <c r="D28" s="1"/>
      <c r="F28" s="1"/>
    </row>
    <row r="29" spans="1:8" x14ac:dyDescent="0.35">
      <c r="C29" s="1"/>
      <c r="D29" s="1"/>
      <c r="F29" s="1"/>
      <c r="G29" s="1"/>
    </row>
    <row r="30" spans="1:8" x14ac:dyDescent="0.35">
      <c r="C30" s="1"/>
      <c r="D30" s="1"/>
      <c r="F30" s="1"/>
      <c r="G30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2B5DDB0A111C4FB36DDB6E66000826" ma:contentTypeVersion="4" ma:contentTypeDescription="Create a new document." ma:contentTypeScope="" ma:versionID="c91518ae51e0a75f767955d3c7032fb3">
  <xsd:schema xmlns:xsd="http://www.w3.org/2001/XMLSchema" xmlns:xs="http://www.w3.org/2001/XMLSchema" xmlns:p="http://schemas.microsoft.com/office/2006/metadata/properties" xmlns:ns2="db02faeb-e5d3-4123-a4c2-04004c71d1e2" targetNamespace="http://schemas.microsoft.com/office/2006/metadata/properties" ma:root="true" ma:fieldsID="3836c67cc06abf198add3807f6565e1e" ns2:_="">
    <xsd:import namespace="db02faeb-e5d3-4123-a4c2-04004c71d1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2faeb-e5d3-4123-a4c2-04004c71d1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8A4697-4560-4AC6-9D3D-894E354AB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2faeb-e5d3-4123-a4c2-04004c71d1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520EE-80C7-423A-9F11-8035A2DEC9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Bird1</vt:lpstr>
      <vt:lpstr>Bird2</vt:lpstr>
      <vt:lpstr>Bird3</vt:lpstr>
      <vt:lpstr>Drone1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Gunnar Gott</dc:creator>
  <cp:keywords/>
  <dc:description/>
  <cp:lastModifiedBy>Dutt, Samuel H C1C USAF USAFA CW/CS29</cp:lastModifiedBy>
  <cp:revision/>
  <dcterms:created xsi:type="dcterms:W3CDTF">2015-06-05T18:17:20Z</dcterms:created>
  <dcterms:modified xsi:type="dcterms:W3CDTF">2024-10-10T16:41:48Z</dcterms:modified>
  <cp:category/>
  <cp:contentStatus/>
</cp:coreProperties>
</file>